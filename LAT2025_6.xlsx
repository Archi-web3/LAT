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defaultThemeVersion="164011"/>
  <mc:AlternateContent xmlns:mc="http://schemas.openxmlformats.org/markup-compatibility/2006">
    <mc:Choice Requires="x15">
      <x15ac:absPath xmlns:x15ac="http://schemas.microsoft.com/office/spreadsheetml/2010/11/ac" url="C:\Users\jgenet\OneDrive - ACTION CONTRE LA FAIM\Documents\0_ONGOING\KIT JO\6_Gestion Logistique\LAT\"/>
    </mc:Choice>
  </mc:AlternateContent>
  <bookViews>
    <workbookView xWindow="0" yWindow="0" windowWidth="38400" windowHeight="18420" tabRatio="326"/>
  </bookViews>
  <sheets>
    <sheet name="LAT" sheetId="1" r:id="rId1"/>
    <sheet name="Dashboard" sheetId="2" r:id="rId2"/>
    <sheet name="Scoring" sheetId="3" r:id="rId3"/>
    <sheet name="notes" sheetId="4" r:id="rId4"/>
  </sheets>
  <externalReferences>
    <externalReference r:id="rId5"/>
    <externalReference r:id="rId6"/>
  </externalReferences>
  <definedNames>
    <definedName name="c_quality_scale">Scoring!$G$3:$G$10</definedName>
    <definedName name="d_quality_scale">Scoring!$G$4</definedName>
    <definedName name="Frequency">[1]Lists!$B$2:$B$3</definedName>
    <definedName name="liste_quality_scale">OFFSET(d_quality_scale,0,0,COUNTA(c_quality_scale)-1,1)</definedName>
    <definedName name="Market">'[2]Market Mapping_v20131218'!$B$9:$B$82</definedName>
    <definedName name="Origin">[1]Lists!$C$2:$C$5</definedName>
    <definedName name="origin2">[2]Lists!$C$2:$C$5</definedName>
    <definedName name="prcourement2">[2]Lists!$D$2:$D$6</definedName>
    <definedName name="Procurement">[1]Lists!$D$2:$D$6</definedName>
    <definedName name="Unit">[1]Lists!$A$2:$A$5</definedName>
    <definedName name="YesNo">[1]Lists!$E$2:$E$3</definedName>
    <definedName name="yesno2">[2]Lists!$E$2:$E$3</definedName>
  </definedNames>
  <calcPr calcId="162913"/>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G97" i="1" l="1"/>
  <c r="H97" i="1"/>
  <c r="G98" i="1"/>
  <c r="H98" i="1"/>
  <c r="G99" i="1"/>
  <c r="H99" i="1"/>
  <c r="G100" i="1"/>
  <c r="H100" i="1"/>
  <c r="G101" i="1"/>
  <c r="H101" i="1"/>
  <c r="G93" i="1"/>
  <c r="H93" i="1"/>
  <c r="G94" i="1"/>
  <c r="H94" i="1"/>
  <c r="G95" i="1"/>
  <c r="H95" i="1"/>
  <c r="G96" i="1"/>
  <c r="H96" i="1"/>
  <c r="G108" i="1" l="1"/>
  <c r="H108" i="1"/>
  <c r="H62" i="1" l="1"/>
  <c r="G62" i="1"/>
  <c r="H59" i="1"/>
  <c r="G59" i="1"/>
  <c r="G65" i="1" l="1"/>
  <c r="H65" i="1"/>
  <c r="G66" i="1"/>
  <c r="H66" i="1"/>
  <c r="G67" i="1"/>
  <c r="H67" i="1"/>
  <c r="G68" i="1"/>
  <c r="H68" i="1"/>
  <c r="H47" i="1" l="1"/>
  <c r="G47" i="1"/>
  <c r="H116" i="1" l="1"/>
  <c r="G116" i="1"/>
  <c r="H115" i="1"/>
  <c r="G115" i="1"/>
  <c r="H114" i="1"/>
  <c r="G114" i="1"/>
  <c r="H113" i="1"/>
  <c r="G113" i="1"/>
  <c r="H112" i="1"/>
  <c r="G112" i="1"/>
  <c r="H111" i="1"/>
  <c r="G111" i="1"/>
  <c r="H109" i="1"/>
  <c r="G109" i="1"/>
  <c r="H107" i="1"/>
  <c r="G107" i="1"/>
  <c r="H105" i="1"/>
  <c r="G105" i="1"/>
  <c r="H104" i="1"/>
  <c r="G104" i="1"/>
  <c r="H103" i="1"/>
  <c r="G103" i="1"/>
  <c r="H92" i="1"/>
  <c r="G92" i="1"/>
  <c r="H91" i="1"/>
  <c r="G91" i="1"/>
  <c r="H90" i="1"/>
  <c r="G90" i="1"/>
  <c r="H89" i="1"/>
  <c r="G89" i="1"/>
  <c r="H88" i="1"/>
  <c r="G88" i="1"/>
  <c r="H86" i="1"/>
  <c r="G86" i="1"/>
  <c r="H85" i="1"/>
  <c r="G85" i="1"/>
  <c r="H84" i="1"/>
  <c r="G84" i="1"/>
  <c r="H83" i="1"/>
  <c r="G83" i="1"/>
  <c r="H81" i="1"/>
  <c r="G81" i="1"/>
  <c r="H80" i="1"/>
  <c r="G80" i="1"/>
  <c r="H79" i="1"/>
  <c r="G79" i="1"/>
  <c r="H78" i="1"/>
  <c r="G78" i="1"/>
  <c r="H77" i="1"/>
  <c r="G77" i="1"/>
  <c r="H76" i="1"/>
  <c r="G76" i="1"/>
  <c r="H75" i="1"/>
  <c r="G75" i="1"/>
  <c r="H73" i="1"/>
  <c r="G73" i="1"/>
  <c r="H72" i="1"/>
  <c r="G72" i="1"/>
  <c r="H71" i="1"/>
  <c r="G71" i="1"/>
  <c r="H70" i="1"/>
  <c r="G70" i="1"/>
  <c r="H64" i="1"/>
  <c r="G64" i="1"/>
  <c r="H61" i="1"/>
  <c r="G61" i="1"/>
  <c r="H60" i="1"/>
  <c r="G60" i="1"/>
  <c r="H58" i="1"/>
  <c r="G58" i="1"/>
  <c r="H56" i="1"/>
  <c r="G56" i="1"/>
  <c r="H55" i="1"/>
  <c r="G55" i="1"/>
  <c r="H54" i="1"/>
  <c r="G54" i="1"/>
  <c r="H53" i="1"/>
  <c r="G53" i="1"/>
  <c r="H52" i="1"/>
  <c r="G52" i="1"/>
  <c r="H51" i="1"/>
  <c r="G51" i="1"/>
  <c r="H50" i="1"/>
  <c r="G50" i="1"/>
  <c r="H49" i="1"/>
  <c r="G49" i="1"/>
  <c r="H48" i="1"/>
  <c r="G48" i="1"/>
  <c r="H45" i="1"/>
  <c r="G45" i="1"/>
  <c r="H44" i="1"/>
  <c r="G44" i="1"/>
  <c r="H41" i="1"/>
  <c r="G41" i="1"/>
  <c r="H40" i="1"/>
  <c r="G40" i="1"/>
  <c r="H39" i="1"/>
  <c r="G39" i="1"/>
  <c r="H37" i="1"/>
  <c r="G37" i="1"/>
  <c r="H36" i="1"/>
  <c r="G36" i="1"/>
  <c r="H35" i="1"/>
  <c r="G35" i="1"/>
  <c r="H34" i="1"/>
  <c r="G34" i="1"/>
  <c r="H33" i="1"/>
  <c r="G33" i="1"/>
  <c r="H32" i="1"/>
  <c r="G32" i="1"/>
  <c r="H31" i="1"/>
  <c r="G31" i="1"/>
  <c r="H30" i="1"/>
  <c r="G30" i="1"/>
  <c r="H29" i="1"/>
  <c r="G29" i="1"/>
  <c r="H27" i="1"/>
  <c r="G27" i="1"/>
  <c r="H26" i="1"/>
  <c r="G26" i="1"/>
  <c r="H25" i="1"/>
  <c r="G25" i="1"/>
  <c r="H24" i="1"/>
  <c r="G24" i="1"/>
  <c r="H22" i="1"/>
  <c r="G22" i="1"/>
  <c r="H21" i="1"/>
  <c r="G21" i="1"/>
  <c r="H20" i="1"/>
  <c r="G20" i="1"/>
  <c r="H18" i="1"/>
  <c r="G18" i="1"/>
  <c r="H17" i="1"/>
  <c r="G17" i="1"/>
  <c r="H16" i="1"/>
  <c r="G16" i="1"/>
  <c r="H15" i="1"/>
  <c r="G15" i="1"/>
  <c r="H14" i="1"/>
  <c r="G14" i="1"/>
  <c r="H13" i="1"/>
  <c r="G13" i="1"/>
  <c r="H11" i="1"/>
  <c r="G11" i="1"/>
  <c r="H10" i="1"/>
  <c r="G10" i="1"/>
  <c r="H9" i="1"/>
  <c r="G9" i="1"/>
  <c r="H8" i="1"/>
  <c r="G8" i="1"/>
  <c r="H7" i="1"/>
  <c r="G7" i="1"/>
  <c r="H6" i="1"/>
  <c r="G6" i="1"/>
  <c r="H5" i="1"/>
  <c r="G5" i="1"/>
  <c r="H4" i="1"/>
  <c r="G4" i="1"/>
  <c r="D15" i="3"/>
  <c r="D14" i="3"/>
  <c r="D13" i="3"/>
  <c r="G10" i="3"/>
  <c r="G9" i="3"/>
  <c r="G8" i="3"/>
  <c r="G7" i="3"/>
  <c r="G6" i="3"/>
  <c r="G5" i="3"/>
  <c r="G4" i="3"/>
  <c r="H3" i="1"/>
  <c r="G3" i="1"/>
</calcChain>
</file>

<file path=xl/comments1.xml><?xml version="1.0" encoding="utf-8"?>
<comments xmlns="http://schemas.openxmlformats.org/spreadsheetml/2006/main">
  <authors>
    <author xml:space="preserve">Jonathan Genet  </author>
  </authors>
  <commentList>
    <comment ref="D1" authorId="0" shapeId="0">
      <text>
        <r>
          <rPr>
            <b/>
            <sz val="9"/>
            <color indexed="81"/>
            <rFont val="Tahoma"/>
            <family val="2"/>
          </rPr>
          <t>Pondération</t>
        </r>
        <r>
          <rPr>
            <sz val="9"/>
            <color indexed="81"/>
            <rFont val="Tahoma"/>
            <family val="2"/>
          </rPr>
          <t xml:space="preserve">
1 - Standard : Question utile mais non critique. Elle améliore la qualité mais n’impacte pas directement la sécurité, la conformité ou la performance.
2 - Importance double : Question importante pour la coordination, la conformité ou la performance. Elle peut impacter les opérations si négligée.
3 - Importance triple : Question critique pour la sécurité, la traçabilité, la gestion des risques ou la conformité réglementaire. Son absence peut entraîner des conséquences graves.</t>
        </r>
      </text>
    </comment>
    <comment ref="B21" authorId="0" shapeId="0">
      <text>
        <r>
          <rPr>
            <sz val="9"/>
            <color indexed="81"/>
            <rFont val="Tahoma"/>
            <family val="2"/>
          </rPr>
          <t xml:space="preserve">Exemple de bonne pratique : Le partenaire est invité à venir dans les locaux d’ACF au moins une fois par mois pour faciliter la transition et le transfert de compétences.
</t>
        </r>
      </text>
    </comment>
    <comment ref="B44" authorId="0" shapeId="0">
      <text>
        <r>
          <rPr>
            <b/>
            <sz val="9"/>
            <color indexed="81"/>
            <rFont val="Tahoma"/>
            <family val="2"/>
          </rPr>
          <t xml:space="preserve">Le cadre d’ACF en matière d’achats responsables est respecté :
</t>
        </r>
        <r>
          <rPr>
            <sz val="9"/>
            <color indexed="81"/>
            <rFont val="Tahoma"/>
            <family val="2"/>
          </rPr>
          <t xml:space="preserve">
&gt; Un questionnaire sur les pratiques durables est inclus lors des sollicitations formelles ou accords cadres.
&gt; Des critères ESG (Environnement, Social, Gouvernance) sont intégrés pour les achats à long terme ou à gros volume.
&gt; Les achats d’articles à usage unique ou non recyclables sont limités.
&gt; La logistique inverse est anticipée dès la planification (collecte et retraitement des biens en fin de vie).cation, ACF évalue les possibilités de collecte et retraitement des biens en fin de vie, en lien avec les fournisseurs.
</t>
        </r>
      </text>
    </comment>
    <comment ref="B50" authorId="0" shapeId="0">
      <text>
        <r>
          <rPr>
            <sz val="9"/>
            <color indexed="81"/>
            <rFont val="Tahoma"/>
            <family val="2"/>
          </rPr>
          <t xml:space="preserve">Tous les mouvements d'entrées et de sorties sont justifiés par une référence de document officiel.
</t>
        </r>
      </text>
    </comment>
    <comment ref="B54" authorId="0" shapeId="0">
      <text>
        <r>
          <rPr>
            <sz val="9"/>
            <color indexed="81"/>
            <rFont val="Tahoma"/>
            <family val="2"/>
          </rPr>
          <t xml:space="preserve">ex. checklist réception des produits alimentaires et nut)
Tous les produits de l'entrepôt respectent les standards de qualité ACF
</t>
        </r>
      </text>
    </comment>
    <comment ref="C65" authorId="0" shapeId="0">
      <text>
        <r>
          <rPr>
            <sz val="9"/>
            <color indexed="81"/>
            <rFont val="Tahoma"/>
            <family val="2"/>
          </rPr>
          <t>(info si durée de stockage dépasse les 1 et 2 ans)</t>
        </r>
      </text>
    </comment>
    <comment ref="C67" authorId="0" shapeId="0">
      <text>
        <r>
          <rPr>
            <b/>
            <sz val="9"/>
            <color indexed="81"/>
            <rFont val="Tahoma"/>
            <family val="2"/>
          </rPr>
          <t>Jonathan Genet  :</t>
        </r>
        <r>
          <rPr>
            <sz val="9"/>
            <color indexed="81"/>
            <rFont val="Tahoma"/>
            <family val="2"/>
          </rPr>
          <t xml:space="preserve">
 (à mettre à disposition)</t>
        </r>
      </text>
    </comment>
    <comment ref="B73" authorId="0" shapeId="0">
      <text>
        <r>
          <rPr>
            <b/>
            <sz val="9"/>
            <color indexed="81"/>
            <rFont val="Tahoma"/>
            <family val="2"/>
          </rPr>
          <t>IMPORTANT :</t>
        </r>
        <r>
          <rPr>
            <sz val="9"/>
            <color indexed="81"/>
            <rFont val="Tahoma"/>
            <family val="2"/>
          </rPr>
          <t xml:space="preserve">
En effet, 100 % des livraisons pour les stocks décentralisés se font sur fond propre. Si on omet de signaler correctement un litige, l’impact financier pour ACF peut être très élevé 
In fact, 100% of deliveries for decentralized stocks are made from our own funds. If a dispute is not reported correctly, the financial impact for ACF can be very high. </t>
        </r>
      </text>
    </comment>
    <comment ref="B79" authorId="0" shapeId="0">
      <text>
        <r>
          <rPr>
            <sz val="9"/>
            <color indexed="81"/>
            <rFont val="Tahoma"/>
            <family val="2"/>
          </rPr>
          <t xml:space="preserve">Un planning des maintenance est disponible et suivi
</t>
        </r>
      </text>
    </comment>
    <comment ref="B104" authorId="0" shapeId="0">
      <text>
        <r>
          <rPr>
            <sz val="9"/>
            <color indexed="81"/>
            <rFont val="Tahoma"/>
            <family val="2"/>
          </rPr>
          <t xml:space="preserve">Equipments essentiels : Equipement IT, imprimantes, frigo, éclairage sécu
</t>
        </r>
      </text>
    </comment>
    <comment ref="B107" authorId="0" shapeId="0">
      <text>
        <r>
          <rPr>
            <sz val="9"/>
            <color indexed="81"/>
            <rFont val="Tahoma"/>
            <family val="2"/>
          </rPr>
          <t xml:space="preserve">Les générateurs sont correctement installés sur une dalle horizontale, avec un abri, une ventilation, et une cheminée d’évacuation des fumées si possible. Une mise à la terre est obligatoire, ainsi qu’un disjoncteur de tête. Le câble de puissance doit avoir une section adaptée à la puissance du générateur. Leur maintenance est suivie via un carnet de bord conforme aux standards ACF, et la qualité du carburant est contrôlée et filtrée si nécessaire.
Le suivi des maintenances est enregistré dans le carnet de bord de chaque générateur (ou a minima un classeur) et suit la fréquence et la liste des entretiens standards d'ACF. 
</t>
        </r>
      </text>
    </comment>
  </commentList>
</comments>
</file>

<file path=xl/sharedStrings.xml><?xml version="1.0" encoding="utf-8"?>
<sst xmlns="http://schemas.openxmlformats.org/spreadsheetml/2006/main" count="910" uniqueCount="375">
  <si>
    <t>Catégories et questions</t>
  </si>
  <si>
    <t>Produit livrable ou moyen de vérification</t>
  </si>
  <si>
    <t>Pondération</t>
  </si>
  <si>
    <t>Type de réponse</t>
  </si>
  <si>
    <t>Score</t>
  </si>
  <si>
    <t>Audit</t>
  </si>
  <si>
    <t>Qualité de rapport</t>
  </si>
  <si>
    <t>Contrôle qualité</t>
  </si>
  <si>
    <t>Stratégie</t>
  </si>
  <si>
    <t>Environnement</t>
  </si>
  <si>
    <t>Performance</t>
  </si>
  <si>
    <t>Maitrise du risque financier</t>
  </si>
  <si>
    <t>Traçabilité</t>
  </si>
  <si>
    <t>Sécurité</t>
  </si>
  <si>
    <t>1 - Sécurité - opérationnelle</t>
  </si>
  <si>
    <t>Documentation &amp; sensibilisation</t>
  </si>
  <si>
    <t>Le LSOP Sécurité est disponible, lu et compris par l’équipe logistique.</t>
  </si>
  <si>
    <t>Security LSOP</t>
  </si>
  <si>
    <t>3 - (Important triple)</t>
  </si>
  <si>
    <t>Échelle de conformité</t>
  </si>
  <si>
    <t>-</t>
  </si>
  <si>
    <t>X</t>
  </si>
  <si>
    <t>Préparation &amp; planification</t>
  </si>
  <si>
    <t>Contingency Plan</t>
  </si>
  <si>
    <t>Suivi des mouvements</t>
  </si>
  <si>
    <t>Movement Follow-up</t>
  </si>
  <si>
    <t>2 - (Importance double)</t>
  </si>
  <si>
    <t>Échelle de traçabilité</t>
  </si>
  <si>
    <t xml:space="preserve">Identification &amp; visibilité </t>
  </si>
  <si>
    <t>Les règles d’identification (bâtiments, véhicules, personnel) sont définies et appliquées.</t>
  </si>
  <si>
    <t>Gestion des incidents</t>
  </si>
  <si>
    <t>Incident report</t>
  </si>
  <si>
    <t>1 - (Pondération standard)</t>
  </si>
  <si>
    <t>Équipements de sécurité</t>
  </si>
  <si>
    <t>Échelle de présence</t>
  </si>
  <si>
    <t>Moyens de communication</t>
  </si>
  <si>
    <t>Communication means</t>
  </si>
  <si>
    <t xml:space="preserve">Sécurité des locaux </t>
  </si>
  <si>
    <t>Security campound</t>
  </si>
  <si>
    <t>2 - Gestion de Cycle de Projet &amp; Coordination</t>
  </si>
  <si>
    <t>Implication projet</t>
  </si>
  <si>
    <t>La logistique est impliquée dans la conception des propositions de projets, conformément au manuel de gestion de projet terrain.</t>
  </si>
  <si>
    <t>Échelle d’implication</t>
  </si>
  <si>
    <t>Reporting</t>
  </si>
  <si>
    <t>Le rapport logistique mensuel est envoyé à temps et contient toutes les informations nécessaires.</t>
  </si>
  <si>
    <t>Échelle de performance</t>
  </si>
  <si>
    <t>Stratégie &amp; préparation</t>
  </si>
  <si>
    <t>La stratégie logistique est définie, alignée avec celle du bureau pays, et inclut la préparation aux urgences.</t>
  </si>
  <si>
    <t>Logistics Strategy</t>
  </si>
  <si>
    <t>Évaluation des capacités</t>
  </si>
  <si>
    <t>L’évaluation des capacités logistiques est réalisée et partagée sur NHF.</t>
  </si>
  <si>
    <t>LCA</t>
  </si>
  <si>
    <t>Coordination financière</t>
  </si>
  <si>
    <t>La logistique contribue à l’élaboration du plan financier (volume, fréquence, prix).</t>
  </si>
  <si>
    <t>Financial Plan</t>
  </si>
  <si>
    <t>3 - Partenariat et localisation</t>
  </si>
  <si>
    <t>Sélection &amp; contractualisation</t>
  </si>
  <si>
    <t>La logistique est impliquée dans l’évaluation et la sélection des partenaires locaux. Les documents logistiques requis sont annexés au contrat signé avec le partenaire.</t>
  </si>
  <si>
    <t>Renforcement des capacités</t>
  </si>
  <si>
    <t>Le personnel logistique participe à la formation et au renforcement des capacités du partenaire, idéalement via un plan annuel.</t>
  </si>
  <si>
    <t>Partner training plan</t>
  </si>
  <si>
    <t>Échelle de maîtrise</t>
  </si>
  <si>
    <t>Collaboration régulière</t>
  </si>
  <si>
    <t>Partner validation table</t>
  </si>
  <si>
    <t>4 - Urgence</t>
  </si>
  <si>
    <t>Préparation &amp; outils</t>
  </si>
  <si>
    <t>Évaluation terrain</t>
  </si>
  <si>
    <t>La logistique est impliquée dans les évaluations terrain et utilise les outils adaptés.</t>
  </si>
  <si>
    <t>Reporting en urgence</t>
  </si>
  <si>
    <t>Durant une reponse d'urgence, le rythme de rapport est defini, adapté et respecté.</t>
  </si>
  <si>
    <t>Log Sitrep</t>
  </si>
  <si>
    <t>Clôture de projet</t>
  </si>
  <si>
    <t>À la fin d’une urgence, les ressources logistiques sont mobilisées pour une fermeture efficace (tri, inventaire, réallocation).</t>
  </si>
  <si>
    <t>Closure of project or end of ACF QIP</t>
  </si>
  <si>
    <t>5 - Chaîne d'approvisionnement</t>
  </si>
  <si>
    <t>Structure &amp; autorisations</t>
  </si>
  <si>
    <t>Autorisation signature table</t>
  </si>
  <si>
    <t>Planification</t>
  </si>
  <si>
    <t>PAP</t>
  </si>
  <si>
    <t>Le Plan d'approvisionnement est disponible au niveau bureau pays.</t>
  </si>
  <si>
    <t>PA</t>
  </si>
  <si>
    <t>ESG Matrice</t>
  </si>
  <si>
    <t>Processus &amp; contrôle</t>
  </si>
  <si>
    <t>Une politique de gestion des accords cadres est en place, les principaux marchés sont couverts, et leur suivi/renouvellement est assuré dans LINK.</t>
  </si>
  <si>
    <t>Framework Agreement (FA)</t>
  </si>
  <si>
    <t>Échelle de qualité</t>
  </si>
  <si>
    <t>Archiving</t>
  </si>
  <si>
    <t>6 - Gestion des achats</t>
  </si>
  <si>
    <t>Market Survey</t>
  </si>
  <si>
    <t>Purchase Line (PL)</t>
  </si>
  <si>
    <t>Les principes d’achat responsable d’ACF sont respectés.</t>
  </si>
  <si>
    <t>Supplier database &amp; evaluation</t>
  </si>
  <si>
    <t>Gestion de l'entrepôt</t>
  </si>
  <si>
    <t>OEE - WAT</t>
  </si>
  <si>
    <t>Gestion des stocks</t>
  </si>
  <si>
    <t>Numbering &amp; labelling</t>
  </si>
  <si>
    <t>Les Fiches de Stock sont correctement remplies et vérifiées. Un audit par échantillonnage prouve que les Fiches de Stock sont fiables.</t>
  </si>
  <si>
    <t>Stock card</t>
  </si>
  <si>
    <t>Quality control</t>
  </si>
  <si>
    <t>Mécanisme d’alerte qualité</t>
  </si>
  <si>
    <t>Tout le personnel logistique et technique connaît le mécanisme d'alerte qualité, et le formulaire d'alerte est disponible.</t>
  </si>
  <si>
    <t>Planification des seuils critiques</t>
  </si>
  <si>
    <t>Process en place</t>
  </si>
  <si>
    <t>Limiter les risques de pertes</t>
  </si>
  <si>
    <t>La rotation des articles en stock est de moins de un an.</t>
  </si>
  <si>
    <t>Risque de perte lié aux expirations</t>
  </si>
  <si>
    <t>Respect des numéros de lot et de série lors de sortie de stock (pas de régularisation lors du dernier inventaire).</t>
  </si>
  <si>
    <t>Efficacité opérationnelle</t>
  </si>
  <si>
    <t>Les sorties de stock sont réalisées sous 5 jours une fois la Dispatch note transmise par le siège / Dipsatch note signée &amp; cloture du dossier à effectuer dans le Link.</t>
  </si>
  <si>
    <t>Rapport BI</t>
  </si>
  <si>
    <t>Risque financier en cas de litige fournisseur si non-respect des procédures de réception pour remonter des litiges.</t>
  </si>
  <si>
    <t>Lors des réceptions de stocks décentralisés, les procédures de réceptions sont respectées afin que des réserves soient remontées dans les 72 heures au sièges après reception des marchandises par le transitaire (Comptage et pesage des colis) et après réception des marchandises par ACF (Vérification de la conformité des packing list des packing List).</t>
  </si>
  <si>
    <t>Suivi &amp; traçabilité</t>
  </si>
  <si>
    <t>Temperature FU sheet</t>
  </si>
  <si>
    <t>Procédures &amp; conformité</t>
  </si>
  <si>
    <t>Cold Chain rules &amp; contigency plan</t>
  </si>
  <si>
    <t>11 - Transport &amp; livraison</t>
  </si>
  <si>
    <t>Planification &amp; anticipation</t>
  </si>
  <si>
    <t>Les transports internationaux sont anticipés dans les propositions de projets et les plans d’approvisionnement. Les délais de pré-dédouanement sont connus et enregistrés.</t>
  </si>
  <si>
    <t>Conformité douanière &amp; partenaires</t>
  </si>
  <si>
    <t>Suivi &amp; documentation</t>
  </si>
  <si>
    <t>Les délais de livraison sont suivis et cohérents avec les dates demandées. Les frets sont documentés (BL, packing list, etc.), identifiés, et archivés correctement.</t>
  </si>
  <si>
    <t>Traçabilité &amp; conformité</t>
  </si>
  <si>
    <t>12 - Gestion de flotte de véhicules</t>
  </si>
  <si>
    <t>Dimensionnement &amp; stratégie</t>
  </si>
  <si>
    <t>Fleet analysis</t>
  </si>
  <si>
    <t>Organisation des déplacements</t>
  </si>
  <si>
    <t>Un processus structuré de demande et de planification des déplacements est en place (soumission, consolidation, vérifications de sécurité). Un planning hebdomadaire est établi.</t>
  </si>
  <si>
    <t>Compétences &amp; sécurité</t>
  </si>
  <si>
    <t>Équipement &amp; conformité</t>
  </si>
  <si>
    <t>Les véhicules sont équipés (kit de premiers secours, eau, etc.) et respectent les standards mécaniques et de sécurité d’ACF.</t>
  </si>
  <si>
    <t>Traçabilité &amp; maintenance</t>
  </si>
  <si>
    <t>Performance &amp; efficacité</t>
  </si>
  <si>
    <t>Fuel consumption FU</t>
  </si>
  <si>
    <t>Carburant &amp; sécurité</t>
  </si>
  <si>
    <t>Une source fiable est identifiée pour le carburant, avec un stock de sécurité si nécessaire. La qualité est contrôlée et un système de décantation/filtration est mis en place si besoin.</t>
  </si>
  <si>
    <t>Fuel &amp; safety</t>
  </si>
  <si>
    <t>13 - Equipement</t>
  </si>
  <si>
    <t>Traçabilité &amp; inventaire</t>
  </si>
  <si>
    <t>Conformité réglementaire</t>
  </si>
  <si>
    <t>Les règles bailleurs concernant la propriété et la destination finale des équipements sont connues et respectées. Des échanges avec le référent logistique sont effectués si besoin.</t>
  </si>
  <si>
    <t>Fin de vie &amp; durabilité</t>
  </si>
  <si>
    <t>Les équipements vieux, obsolètes ou cassés sont pris en charge selon une politique de gestion des rebus (recyclage, dons, destruction, etc.).</t>
  </si>
  <si>
    <t>Disposal plan</t>
  </si>
  <si>
    <t>Fonctionnalité &amp; disponibilité</t>
  </si>
  <si>
    <t>La gestion des équipements en termes de maintenance, attribution et réapprovisionnement est conforme aux besoins.</t>
  </si>
  <si>
    <t xml:space="preserve">14 - Technologies de l'Information et des Communications </t>
  </si>
  <si>
    <t>Protection des données</t>
  </si>
  <si>
    <t>Connectivité &amp; infrastructure</t>
  </si>
  <si>
    <t>Gestion &amp; maintenance</t>
  </si>
  <si>
    <t>Conformité &amp; suivi</t>
  </si>
  <si>
    <t>Communication opérationnelle</t>
  </si>
  <si>
    <t>Échelle simplifiée</t>
  </si>
  <si>
    <t>15 - Energie</t>
  </si>
  <si>
    <t>Analyse &amp; conformité des installations</t>
  </si>
  <si>
    <t>Energy sizing tool</t>
  </si>
  <si>
    <t>Yes_no</t>
  </si>
  <si>
    <t>Fiabilité des sources</t>
  </si>
  <si>
    <t>Protection &amp; securité</t>
  </si>
  <si>
    <t>Maintenance des équipements</t>
  </si>
  <si>
    <t>Autres</t>
  </si>
  <si>
    <t>Traçabilité &amp; gestion</t>
  </si>
  <si>
    <t>Documentation</t>
  </si>
  <si>
    <t>16 - Gestion d'équipe</t>
  </si>
  <si>
    <t>Structure &amp; rôles</t>
  </si>
  <si>
    <t>Un organigramme RH de l’équipe logistique est disponible, à jour et cohérent. Les tâches et responsabilités sont définies dans des fiches de poste claires, et les employés les comprennent.</t>
  </si>
  <si>
    <t>Log Organigramm &amp; JDs</t>
  </si>
  <si>
    <t>Tous les employés reçoivent une formation adaptée sur les outils logistiques utilisés. Les besoins en formation sont identifiés, un planning est suivi, et l’historique des formations est disponible.</t>
  </si>
  <si>
    <t>Training plan and FU</t>
  </si>
  <si>
    <t>Performance &amp; pilotage</t>
  </si>
  <si>
    <t>Evaluation &amp; objectives</t>
  </si>
  <si>
    <t>Organisation &amp; priorités</t>
  </si>
  <si>
    <t>Climat d’équipe</t>
  </si>
  <si>
    <t>Traçabilité RH</t>
  </si>
  <si>
    <t>échelle de qualité</t>
  </si>
  <si>
    <t>échelle de satisfaction</t>
  </si>
  <si>
    <t>Echelle d'accord</t>
  </si>
  <si>
    <t>%</t>
  </si>
  <si>
    <t>Label</t>
  </si>
  <si>
    <t>Très mauvaise</t>
  </si>
  <si>
    <t>Très insatisfait</t>
  </si>
  <si>
    <t>Pas du tout d'accord</t>
  </si>
  <si>
    <t>Mauvaise</t>
  </si>
  <si>
    <t>Insatisfait</t>
  </si>
  <si>
    <t>Pas d'accord</t>
  </si>
  <si>
    <t>Moyenne</t>
  </si>
  <si>
    <t>Ni satisfait ni insatisfait</t>
  </si>
  <si>
    <t>Avis neutre</t>
  </si>
  <si>
    <t>Bonne</t>
  </si>
  <si>
    <t>Satisfait</t>
  </si>
  <si>
    <t>D'accord</t>
  </si>
  <si>
    <t>Excellente</t>
  </si>
  <si>
    <t>Très satisfait</t>
  </si>
  <si>
    <t>Fortement d'accord</t>
  </si>
  <si>
    <t>Pas évalué</t>
  </si>
  <si>
    <t>Non pertinent</t>
  </si>
  <si>
    <t>Weighting</t>
  </si>
  <si>
    <t>Pondération standard</t>
  </si>
  <si>
    <t>Importance double</t>
  </si>
  <si>
    <t>Important triple</t>
  </si>
  <si>
    <t>Nom de l’échelle</t>
  </si>
  <si>
    <t>Utilisation typique</t>
  </si>
  <si>
    <t>Message de saisie</t>
  </si>
  <si>
    <t>Liste déroulante</t>
  </si>
  <si>
    <t>Procédures, règles, LSOP</t>
  </si>
  <si>
    <t>0 – Procédure absente
1 – Connue mais non appliquée
2 – Appliquée partiellement
3 – Appliquée avec quelques écarts
4 – Maîtrisée et appliquée
NA – Non applicable</t>
  </si>
  <si>
    <t>Archivage, suivi, fiches</t>
  </si>
  <si>
    <t>0 – Aucun suivi
1 – Suivi papier, non structuré
2 – Suivi présent mais incohérent
3 – Suivi fiable avec erreurs mineures
4 – Suivi complet et à jour
NA – Non applicable</t>
  </si>
  <si>
    <t>Équipements, infrastructures</t>
  </si>
  <si>
    <t>0 – Absent
1 – Présent mais inutilisable
2 – Utilisable mais incomplet
3 – Fonctionnel, vérif. non formalisée
4 – Fonctionnel, complet, vérifié
NA – Non applicable</t>
  </si>
  <si>
    <t>Formation, compétences</t>
  </si>
  <si>
    <t>0 – Pas de formation
1 – Formation informelle
2 – Formation partielle
3 – Formation incomplète
4 – Formation complète et suivie
NA – Non applicable</t>
  </si>
  <si>
    <t>Coordination, implication projet</t>
  </si>
  <si>
    <t>0 – Aucune implication
1 – Implication ponctuelle
2 – Implication partielle
3 – Implication régulière
4 – Implication active et documentée
NA – Non applicable</t>
  </si>
  <si>
    <t>Contrôle qualité, réception</t>
  </si>
  <si>
    <t>0 – Très mauvaise
1 – Mauvaise
2 – Moyenne
3 – Bonne
4 – Excellente
NA – Non applicable</t>
  </si>
  <si>
    <t>Rapports, indicateurs, délais</t>
  </si>
  <si>
    <t>0 – 0% atteint
1 – 25% atteint
2 – 50% atteint
3 – 75% atteint
4 – 100% atteint
NA – Non applicable</t>
  </si>
  <si>
    <t>0 - Non
1 - Partiellement
4 - Oui
NA - Non applicable</t>
  </si>
  <si>
    <t>0 - Non
4 - Oui
NA - Non applicable</t>
  </si>
  <si>
    <t>Goal</t>
  </si>
  <si>
    <t>Orienté vers l'action :  L'outil est conçu pour identifier les lacunes et suivre les progrès après la mise en œuvre des plans d'action</t>
  </si>
  <si>
    <t>Proposition d'amélioration :</t>
  </si>
  <si>
    <t>Option "No Applicable" : Inclure une option "Non Applicable" (N/A) pour les questions qui pourraient ne pas être pertinentes pour toutes les missions ou tous les contextes.</t>
  </si>
  <si>
    <t>Exemples spécifiques : Envisagez d'ajouter des exemples plus spécifiques dans les questions afin de réduire l'ambiguïté.</t>
  </si>
  <si>
    <t>Critère principal</t>
  </si>
  <si>
    <t>Exemples typiques</t>
  </si>
  <si>
    <t>1 – Standard</t>
  </si>
  <si>
    <t>Question utile mais non critique. Elle améliore la qualité mais n’impacte pas directement la sécurité, la conformité ou la performance.</t>
  </si>
  <si>
    <t>Archivage, planning des congés, suivi administratif.</t>
  </si>
  <si>
    <t>2 – Importance double</t>
  </si>
  <si>
    <t>Question importante pour la coordination, la conformité ou la performance. Elle peut impacter les opérations si négligée.</t>
  </si>
  <si>
    <t>Suivi des mouvements, plan d’approvisionnement, implication dans les finances.</t>
  </si>
  <si>
    <t>3 – Importance triple</t>
  </si>
  <si>
    <t>Question critique pour la sécurité, la traçabilité, la gestion des risques ou la conformité réglementaire. Son absence peut entraîner des conséquences graves.</t>
  </si>
  <si>
    <t>LSOP sécurité, extincteurs, plan d’urgence, gestion des incidents, fuel logbook.</t>
  </si>
  <si>
    <t>Méthode d’évaluation pour chaque question</t>
  </si>
  <si>
    <t>Pour chaque question, on peut se poser :</t>
  </si>
  <si>
    <t>1. Est-ce que l’absence de cette pratique met en danger les personnes ou les biens ? → Pondération 3</t>
  </si>
  <si>
    <t>2. Est-ce que cela impacte directement la performance ou la conformité ? → Pondération 2</t>
  </si>
  <si>
    <t>3. Est-ce que c’est une bonne pratique mais non critique ? → Pondération 1</t>
  </si>
  <si>
    <t>Les mouvements terrain sont suivis et les contacts d’urgence sont définis (app de suivi, tableau blanc, opérateur radio, traceurs...).</t>
  </si>
  <si>
    <t>Des trousses médicales (trousse de premiers secours + kit PEP) sont-elles présentes sur la base, contrôlées et non périmées ?</t>
  </si>
  <si>
    <r>
      <t xml:space="preserve">Les équipements de sûreté sont en place </t>
    </r>
    <r>
      <rPr>
        <sz val="11"/>
        <color theme="1"/>
        <rFont val="Calibri"/>
        <family val="2"/>
        <scheme val="minor"/>
      </rPr>
      <t>et fonctionnels : extincteurs, détecteurs de fumée, CO2, bac à sable, etc.</t>
    </r>
  </si>
  <si>
    <t>Les moyens de communication disponibles sont-ils conformes au LSOP sécurité et fonctionnels ?</t>
  </si>
  <si>
    <t>La sécurité des locaux est-elle assurée pour l'ensemble des bâtiments et conformément aux règles définies dans le LSOP Sécurité ?</t>
  </si>
  <si>
    <t>Le tableau des signatures est à jour et les droits LINK sont paramétrés. Ils sont conformes à l’organigramme, et accessibles. Les anciennes versions sont archivées.</t>
  </si>
  <si>
    <r>
      <t>Un Plan d’Achat par Projet (PAP) est préparé pour chaque projet, incluant les marchés stratégiques</t>
    </r>
    <r>
      <rPr>
        <sz val="11"/>
        <color theme="1"/>
        <rFont val="Calibri"/>
        <family val="2"/>
        <scheme val="minor"/>
      </rPr>
      <t xml:space="preserve"> (ex: médicament, papèterie, véhicules de location…) et les dérogations ont été préparés et validés le cas échéant.</t>
    </r>
  </si>
  <si>
    <t>La matrice des risques ESG pour les principaux marchés est remplie en collaboration avec les programmes.</t>
  </si>
  <si>
    <t>Un contrôle qualité systématique est appliqué aux approvisionnements sensibles (médicaments, denrées alimentaires, véhicules...).</t>
  </si>
  <si>
    <t>La procédure de donation en nature est appliquée et les dons sont enregistrés dans LINK ou dans un suivi dédié.</t>
  </si>
  <si>
    <t>Suivi DEN / Link</t>
  </si>
  <si>
    <t>La base de données fournisseurs est remplie, les évaluations sont réalisées en fin de contrat (obligatoires pour les achats &gt; 50 000 €), et l’enregistrement est effectué pour tous les achats supérieurs à 10 000 €.</t>
  </si>
  <si>
    <t>L'élimination des produits ou matériels hors d'état ou périmés ont été définis en accord avec les procédures ACF, le contexte et la réglementation locale.</t>
  </si>
  <si>
    <t>Les stocks ne contienent pas de produits immobiles ou non utilisés depuis plus de 2 ans (hors contingence).</t>
  </si>
  <si>
    <t>La qualité des produits est vérifiée à la réception selon les procédures (ex: checklist de réception des produits alimentaires et nutritionnels).</t>
  </si>
  <si>
    <t>Une analyse du parc est réalisée tous les 6 mois pour garantir que le nombre et les types de véhicules sont adaptés aux besoins (activités, sécurité, routes, climat). Les projections sont anticipées et budgétisées (renouvellement, location / achat).</t>
  </si>
  <si>
    <t>Chaque véhicule dispose d’un logbook pour les déplacements et le carburant, d’un carnet d’entretien, et d’un dossier administratif complet. Les anciens logbooks sont archivés.</t>
  </si>
  <si>
    <t>Chaque équipement est correctement codifié et étiqueté. La liste des équipements est à jour et complète, incluant leur allocation et propriété.</t>
  </si>
  <si>
    <t>Des évaluations périodiques sont menées selon le cadre RH. Des objectifs SMART et des plans d’action individuels sont définis.</t>
  </si>
  <si>
    <t>Tous les membres de l’équipe logistique peuvent partager leurs opinions et préoccupations (gardiens et chauffeurs inclus), quelle que soit la méthodologie utilisée.</t>
  </si>
  <si>
    <t>7 - Stocks</t>
  </si>
  <si>
    <t>8 - Stocks medicaux</t>
  </si>
  <si>
    <t>La logistique est impliquée dans la mise à jour des BFU et échange régulièrement avec la finance.</t>
  </si>
  <si>
    <t>Tous les documents de la chaine d'approvisionnement sont archivés selon la procédure ACF (papier et électronique).</t>
  </si>
  <si>
    <t>Chaque entrepôt ACF est sélectionné via l’outil OEE, mis aux normes ACF, et un plan d’action est en place si nécessaire pour se conformer aux standards minimums et, dans la mesure du possible, aux bonnes pratiques.</t>
  </si>
  <si>
    <t>Les procédures douanières (import, transit, export) sont disponibles, documentées, et archivées. Les services de transporteurs et agents en douane sont identifiés, et les règles/coûts d’importation sont maîtrisés.</t>
  </si>
  <si>
    <t>Tous les chauffeurs (ACF et prestataires) sont formés aux règles de conduite ACF (éco-conduite incluse), au profil de poste et à leurs responsabilités.</t>
  </si>
  <si>
    <t>Le suivi de la consommation est effectué, des actions sont prises en cas de surconsommation, et un test de consommation sur 100 km est réalisé pour chaque véhicule (et générateurs, si pertinent).</t>
  </si>
  <si>
    <t>L'organigramme, les fiches de poste, et le plan d’action du départment sont accessibles et communiqués aux managers de la base et aux personnes concernées.</t>
  </si>
  <si>
    <t>Un mécanisme de collaboration régulière avec les partenaire est en place, en accord avec MoU (visites mensuelles, validation des achats...).</t>
  </si>
  <si>
    <t>Des réunions régulières sont formalisées avec les demandeurs et la finance : validation des demandes d'achat, planning, transport.</t>
  </si>
  <si>
    <t>Des études de marché sont réalisées régulièrement pour l'ensemble des marchés clés.</t>
  </si>
  <si>
    <t>Les demandes d’achat sont correctement crées, avec spécifications claires, précises et incluant des critères ESG.</t>
  </si>
  <si>
    <t>Les procédures d’appel d’offres sont conformes, documentées et validées. Un audit est réalisé sur un échantillon de minimum 3 dossiers pour répondre à cette question.</t>
  </si>
  <si>
    <t>Les procédures négociées sont conformes, documentées et validées. Un audit est réalisé sur un échantillon de minimum 5 dossiers pour répondre à cette question.</t>
  </si>
  <si>
    <t>Les achats directs sont conformes, documentés et validés. Un audit est réalisé sur un échantillon de minimum 5 dossiers pour répondre à cette question.</t>
  </si>
  <si>
    <t>SFU/Link</t>
  </si>
  <si>
    <t>Le planning des congés est fait et suivi. Des réunions d’équipe régulières sont organisées. Tous les collaborateurs connaissent leurs priorités via un plan d’action formel ou une liste de tâches à réaliser.</t>
  </si>
  <si>
    <t>Conditions de stockage &amp; équipements</t>
  </si>
  <si>
    <t>Les règles de gestion de la chaîne de froid (emballage, stockage, transport, plan de contingence, etc.) sont appliquées et vérifiées au moins une fois par an. Une personne responsable de la chaîne de froid est identifiée, un backup est prévu, et le personnel impliqué est formé et connaît ses responsabilités, notamment en cas de rupture de la chaîne.</t>
  </si>
  <si>
    <t>Le suivi des stocks est complété, à jour, et disponible régulièrement (toutes les deux semaines minimum) pour l’ensemble des équipes programmes.</t>
  </si>
  <si>
    <t>Les produits médicaux et nutritionnels sont stockés dans des locaux ou équipements adaptés (pièce température contrôllé ou équipement chaîne de froid selon les spécifications). Les équipements de chaîne de froid sont correctement installés (ventilation, stabilisation électrique, etc.) et entretenus régulièrement (nettoyage, dégivrage, etc.).</t>
  </si>
  <si>
    <t xml:space="preserve">Le suivi de la température et de l’humidité est effectué deux fois par jour, 7j/7, avec utilisation des équipements standards ACF (3M, Freeze tag, Log tag, etc.)  et enregistré sur une fiche de suivi. </t>
  </si>
  <si>
    <t>Les produits dangereux, corrosifs, à détruire, en quarantaine ou stock décentralisé sont entreposés séparément (séparation physique) et clairement identifiés.</t>
  </si>
  <si>
    <t>Lors d'une réception d'une livraison internationale (inclus stock décentralisé), les procédures de réceptions sont respectées afin que des réserves soient remontées dans les 72 heures au sièges après reception des marchandises par le transitaire (Comptage et pesage des colis) et après réception des marchandises par ACF (Vérification de la conformité des packing list des packing List).</t>
  </si>
  <si>
    <t>Visibility in place</t>
  </si>
  <si>
    <t>Safety equipement in place</t>
  </si>
  <si>
    <t>Project Proposal &amp; PPP</t>
  </si>
  <si>
    <t>Monthy Log report (MLR)</t>
  </si>
  <si>
    <t>BFU &amp; interdep meeting</t>
  </si>
  <si>
    <t>Log evaluation Local partner table</t>
  </si>
  <si>
    <t>Briefing SLU, PPRU</t>
  </si>
  <si>
    <t>Log assessment report</t>
  </si>
  <si>
    <t xml:space="preserve">
Interdep meeting planning</t>
  </si>
  <si>
    <t>Checklist quality</t>
  </si>
  <si>
    <t>LINK</t>
  </si>
  <si>
    <t>Tous les articles sont identifiés par leurs numéros de ligne d'achat (sur le BL, Fiche de pile, Fiche de Stock, DSS, rapport de perte).</t>
  </si>
  <si>
    <t>Stock card and Stock report</t>
  </si>
  <si>
    <t>Physical separation</t>
  </si>
  <si>
    <t>0 Dead stock</t>
  </si>
  <si>
    <t>Security Stock set up</t>
  </si>
  <si>
    <t xml:space="preserve">Controlled temperature
</t>
  </si>
  <si>
    <t>Stock report</t>
  </si>
  <si>
    <t>Previous claims
Checking delivery documents</t>
  </si>
  <si>
    <t>Supply Plan
Pre-clearance Lead time filled</t>
  </si>
  <si>
    <t>Customs Procedures folder
Transport services list</t>
  </si>
  <si>
    <t>Claims</t>
  </si>
  <si>
    <t>Movement management &amp; planning</t>
  </si>
  <si>
    <t>Driver's training list</t>
  </si>
  <si>
    <t>Vehicle's kits in the car</t>
  </si>
  <si>
    <t>Trip, fuel &amp; maintenance logbook available</t>
  </si>
  <si>
    <t>labelling &amp; inventory</t>
  </si>
  <si>
    <t>Equipment &amp; maintenance plan</t>
  </si>
  <si>
    <t>Holidays &amp; meeting planning</t>
  </si>
  <si>
    <t>Expression &amp; well-being</t>
  </si>
  <si>
    <t>Les condtions du MOU sont respectées :
Les pré-requis dans le MOU listés dans la check-list sont bien opérationnel
La stratégie pour couvrir les coûts annexes et les risques externes est bien appliquée</t>
  </si>
  <si>
    <t>Inventory result</t>
  </si>
  <si>
    <r>
      <t xml:space="preserve">Un planning des inventaires est disponible, communiqué et suivi. Les inventaires sont réalisés conformément aux procédures de stocks (inclus le stock décentralisé et stocks médicaux). </t>
    </r>
    <r>
      <rPr>
        <i/>
        <sz val="11"/>
        <color theme="1"/>
        <rFont val="Calibri"/>
        <family val="2"/>
        <scheme val="minor"/>
      </rPr>
      <t>Les inventaires annuels dont stock D sont réalisés au 31 décembre et finalisés avant le 15 janvier (Correction des écarts et HQPR de régularisation transmises).</t>
    </r>
  </si>
  <si>
    <t>Last Inventory</t>
  </si>
  <si>
    <t>Le dimensionnement des installations électriques est basé sur une analyse des besoins (outil “generator/solar sizing” du KitLog) et on connaît-on l’énergie disponible de la ville, la fréquence moyenne des coupures et la variabilité de la tension ?</t>
  </si>
  <si>
    <t xml:space="preserve"> Le bâtiment dispose-t-il d’une source principale fiable et d’un backup fonctionnel couvrant les équipements essentiels ?</t>
  </si>
  <si>
    <t>Reliable energy sources &amp; backup</t>
  </si>
  <si>
    <t>Date of last Elec diag tool</t>
  </si>
  <si>
    <t>Le diagnostic energy safety est-il rempli lors de l'arrivée dans bâtiment, et de façon annuelle ou lors de modifications et cela pour tout les bâtiments. Les 10/10 standards minimum sont-ils atteints ?</t>
  </si>
  <si>
    <t>Stabilizers presence</t>
  </si>
  <si>
    <t>Maintenance planning</t>
  </si>
  <si>
    <r>
      <t xml:space="preserve">Les générateurs sont-ils bien installés, mis à la terre, et leur maintenance suivie (log book, planning de maintenance, etc.) ?
</t>
    </r>
    <r>
      <rPr>
        <u/>
        <sz val="11"/>
        <color theme="1"/>
        <rFont val="Calibri"/>
        <family val="2"/>
        <scheme val="minor"/>
      </rPr>
      <t>Tous les équipements électriques</t>
    </r>
    <r>
      <rPr>
        <sz val="11"/>
        <color theme="1"/>
        <rFont val="Calibri"/>
        <family val="2"/>
        <scheme val="minor"/>
      </rPr>
      <t xml:space="preserve"> ou liés à l'énergie ont-ils un plan de maintenance conforme aux gammes préventives ? Suivie via un carnet de bord ou fichier conforme aux standards ACF. La qualité du carburant est contrôlée et filtrée (décantée) si nécessaire.</t>
    </r>
  </si>
  <si>
    <t>Les installations électriques sont documentées (plans, dimensionnement, diagnostics, manuels, plan de contingence).</t>
  </si>
  <si>
    <t>Les incidents de sécurité sont rapportés et les coûts sont suivis (factures, consommation, maintenance).</t>
  </si>
  <si>
    <t>En cas de connexion actuelle ou future au réseau électrique de la ville présentant des fluctuations de tension, les équipements sensibles doivent être alimentés via des stabilisateurs pour garantir une tension stable — notamment pour l’armoire ICT, les imprimantes et les réfrigérateurs.
Il est recommandé de privilégier l’installation d’un stabilisateur principal en tête d’installation, plutôt que de multiplier les petits stabilisateurs individuels.</t>
  </si>
  <si>
    <t>Follow-up of incident reports</t>
  </si>
  <si>
    <t>Le système de signalement et de gestion des incidents (notamment incidents véhicule/électrique/incendie) est en place et connu du personnel logistique concerné. P.ex : un incident lié à la sécurité électrique doit donné lieu à des mesures correctives.</t>
  </si>
  <si>
    <t>Medical kits with updated packing list</t>
  </si>
  <si>
    <t>Clarifier la notation : Fournir des lignes directrices claires pour l'attribution des notes. Qu'est-ce qui constitue un "0" par rapport à une note plus élevée ? Cela garantira la cohérence entre les différentes évaluations.</t>
  </si>
  <si>
    <t xml:space="preserve">Le plan de préparation aux urgences est en place et actualisé (stock, contrats, télécom, entrepôts, staff list, etc) et le SLU est connu du personnel logistique. </t>
  </si>
  <si>
    <t>Les règles de gestion des stocks sont appliquées (FIFO, FEFO, etc.)</t>
  </si>
  <si>
    <t>Les stocks de sécurité et seuils d'alertes sont défins avec le RP Santé et/ou le pharmacien pour les articles médicaux standards ou autre produits critiques.</t>
  </si>
  <si>
    <t>Scoring possibilitie</t>
  </si>
  <si>
    <t>or,</t>
  </si>
  <si>
    <t>Remarques RLR</t>
  </si>
  <si>
    <t>Le plan de contingence est à jour et couvre les éléments essentiels (zones &amp; salles sécurité, kits, eau, etc.).</t>
  </si>
  <si>
    <t xml:space="preserve">9 - Stocks décentralisés </t>
  </si>
  <si>
    <t>Donor rules respected</t>
  </si>
  <si>
    <t>other possible scoring (From Parcel) --&gt;</t>
  </si>
  <si>
    <t>Oui : 1pt
Partiellement : 0,5 pt 
Non : 0 pt
N/A : question désactivée non prise en compte
-1 - Je ne sais pas</t>
  </si>
  <si>
    <t>3 - Oui
2 - Partiellement
1 - On a commencer à parler du sujet
0 - Non
N/A : question désactivée non prise en compte</t>
  </si>
  <si>
    <t>A data backup system is in place for both individual user data and shared data. Precise frequency of backup and schedule testing to ensure reliability</t>
  </si>
  <si>
    <t>A shared folder is configured to shared data in the NAS for the users, individual department for collaboration. A follow-up and monitoring mechanism is implemented and additional backup is in place.</t>
  </si>
  <si>
    <t>The antivirus requested by the HQ is installed and updated on all computers.</t>
  </si>
  <si>
    <t>A standard infra kit is installed and configured and working properly</t>
  </si>
  <si>
    <t>There is an ICT officer (or someone responsible for IT if the dedicated IT is not available) who regularly takes care of the ICT equipment fleet like computers, network, and telecom equipment.</t>
  </si>
  <si>
    <t>All communication costs are monitored</t>
  </si>
  <si>
    <t>Communication during all field movements are possible to follow on the totality of the trip</t>
  </si>
  <si>
    <t>Satellite equipment kits (including accessories) are at least checked every 3 months</t>
  </si>
  <si>
    <t>You can communicate (voice) with other bases and capital. Precise the technology used (GSM, Radio, Sat,…)</t>
  </si>
  <si>
    <t>Radios are working, properly installed and earthed</t>
  </si>
  <si>
    <t>You have reliable main internet access and a backup internet access?</t>
  </si>
  <si>
    <t>Computer standards are respected (Hardware and Software)</t>
  </si>
  <si>
    <t>Software's license are inventoried, monitored and updated</t>
  </si>
  <si>
    <t>IT equipments are electrically protected and backup</t>
  </si>
  <si>
    <r>
      <rPr>
        <b/>
        <sz val="11"/>
        <color theme="1"/>
        <rFont val="Calibri"/>
        <family val="2"/>
        <scheme val="minor"/>
      </rPr>
      <t>Communication inter-bases</t>
    </r>
    <r>
      <rPr>
        <sz val="11"/>
        <color theme="1"/>
        <rFont val="Calibri"/>
        <family val="2"/>
        <scheme val="minor"/>
      </rPr>
      <t xml:space="preserve"> : Liste équipements, test call</t>
    </r>
  </si>
  <si>
    <r>
      <rPr>
        <b/>
        <sz val="11"/>
        <color theme="1"/>
        <rFont val="Calibri"/>
        <family val="2"/>
        <scheme val="minor"/>
      </rPr>
      <t>Radios</t>
    </r>
    <r>
      <rPr>
        <sz val="11"/>
        <color theme="1"/>
        <rFont val="Calibri"/>
        <family val="2"/>
        <scheme val="minor"/>
      </rPr>
      <t xml:space="preserve"> : Photos installation, tests radio</t>
    </r>
  </si>
  <si>
    <r>
      <rPr>
        <b/>
        <sz val="11"/>
        <color theme="1"/>
        <rFont val="Calibri"/>
        <family val="2"/>
        <scheme val="minor"/>
      </rPr>
      <t>Internet + backup</t>
    </r>
    <r>
      <rPr>
        <sz val="11"/>
        <color theme="1"/>
        <rFont val="Calibri"/>
        <family val="2"/>
        <scheme val="minor"/>
      </rPr>
      <t xml:space="preserve"> : Factures, schéma réseau, tests</t>
    </r>
  </si>
  <si>
    <r>
      <rPr>
        <b/>
        <sz val="11"/>
        <color theme="1"/>
        <rFont val="Calibri"/>
        <family val="2"/>
        <scheme val="minor"/>
      </rPr>
      <t>Standards ordinateurs</t>
    </r>
    <r>
      <rPr>
        <sz val="11"/>
        <color theme="1"/>
        <rFont val="Calibri"/>
        <family val="2"/>
        <scheme val="minor"/>
      </rPr>
      <t xml:space="preserve"> : Inventaire, standard ICT, logs patch</t>
    </r>
  </si>
  <si>
    <r>
      <rPr>
        <b/>
        <sz val="11"/>
        <color theme="1"/>
        <rFont val="Calibri"/>
        <family val="2"/>
        <scheme val="minor"/>
      </rPr>
      <t>Licences logicielles</t>
    </r>
    <r>
      <rPr>
        <sz val="11"/>
        <color theme="1"/>
        <rFont val="Calibri"/>
        <family val="2"/>
        <scheme val="minor"/>
      </rPr>
      <t xml:space="preserve"> : Registre licences, factures</t>
    </r>
  </si>
  <si>
    <r>
      <rPr>
        <b/>
        <sz val="11"/>
        <color theme="1"/>
        <rFont val="Calibri"/>
        <family val="2"/>
        <scheme val="minor"/>
      </rPr>
      <t>Protection électrique</t>
    </r>
    <r>
      <rPr>
        <sz val="11"/>
        <color theme="1"/>
        <rFont val="Calibri"/>
        <family val="2"/>
        <scheme val="minor"/>
      </rPr>
      <t xml:space="preserve"> : Photos UPS, tests, registre</t>
    </r>
  </si>
  <si>
    <r>
      <t xml:space="preserve">Backup system </t>
    </r>
    <r>
      <rPr>
        <sz val="11"/>
        <color theme="1"/>
        <rFont val="Calibri"/>
        <family val="2"/>
        <scheme val="minor"/>
      </rPr>
      <t>→ Backup log (export / capture d’écran)</t>
    </r>
  </si>
  <si>
    <r>
      <t>Shared NAS folder</t>
    </r>
    <r>
      <rPr>
        <sz val="8"/>
        <color theme="1"/>
        <rFont val="Segoe UI"/>
        <family val="2"/>
      </rPr>
      <t xml:space="preserve"> </t>
    </r>
    <r>
      <rPr>
        <sz val="11"/>
        <color theme="1"/>
        <rFont val="Calibri"/>
        <family val="2"/>
        <scheme val="minor"/>
      </rPr>
      <t xml:space="preserve">→ </t>
    </r>
    <r>
      <rPr>
        <i/>
        <sz val="11"/>
        <color theme="1"/>
        <rFont val="Calibri"/>
        <family val="2"/>
        <scheme val="minor"/>
      </rPr>
      <t>Capture permissions + arborescence</t>
    </r>
  </si>
  <si>
    <r>
      <t>Antivirus HQ</t>
    </r>
    <r>
      <rPr>
        <sz val="8"/>
        <color theme="1"/>
        <rFont val="Segoe UI"/>
        <family val="2"/>
      </rPr>
      <t xml:space="preserve"> </t>
    </r>
    <r>
      <rPr>
        <sz val="11"/>
        <color theme="1"/>
        <rFont val="Segoe UI"/>
        <family val="2"/>
      </rPr>
      <t xml:space="preserve">→ </t>
    </r>
    <r>
      <rPr>
        <i/>
        <sz val="11"/>
        <color theme="1"/>
        <rFont val="Segoe UI"/>
        <family val="2"/>
      </rPr>
      <t>Capture mise à jour antivirus</t>
    </r>
  </si>
  <si>
    <r>
      <t>Standard infra kit</t>
    </r>
    <r>
      <rPr>
        <sz val="12"/>
        <color theme="1"/>
        <rFont val="Calibri"/>
        <family val="2"/>
        <scheme val="minor"/>
      </rPr>
      <t xml:space="preserve"> → </t>
    </r>
    <r>
      <rPr>
        <i/>
        <sz val="12"/>
        <color theme="1"/>
        <rFont val="Calibri"/>
        <family val="2"/>
        <scheme val="minor"/>
      </rPr>
      <t>Check‑list infra signée</t>
    </r>
  </si>
  <si>
    <r>
      <t>ICT officer</t>
    </r>
    <r>
      <rPr>
        <sz val="8"/>
        <color theme="1"/>
        <rFont val="Segoe UI"/>
        <family val="2"/>
      </rPr>
      <t xml:space="preserve"> </t>
    </r>
    <r>
      <rPr>
        <sz val="12"/>
        <color theme="1"/>
        <rFont val="Calibri"/>
        <family val="2"/>
        <scheme val="minor"/>
      </rPr>
      <t xml:space="preserve">→ </t>
    </r>
    <r>
      <rPr>
        <i/>
        <sz val="12"/>
        <color theme="1"/>
        <rFont val="Calibri"/>
        <family val="2"/>
        <scheme val="minor"/>
      </rPr>
      <t>Registre des interventions ICT (Excel)</t>
    </r>
  </si>
  <si>
    <r>
      <t>Communication costs</t>
    </r>
    <r>
      <rPr>
        <sz val="8"/>
        <color theme="1"/>
        <rFont val="Segoe UI"/>
        <family val="2"/>
      </rPr>
      <t xml:space="preserve"> </t>
    </r>
    <r>
      <rPr>
        <sz val="11"/>
        <color theme="1"/>
        <rFont val="Calibri"/>
        <family val="2"/>
        <scheme val="minor"/>
      </rPr>
      <t xml:space="preserve">→ </t>
    </r>
    <r>
      <rPr>
        <i/>
        <sz val="11"/>
        <color theme="1"/>
        <rFont val="Calibri"/>
        <family val="2"/>
        <scheme val="minor"/>
      </rPr>
      <t>Suivi des coûts telecom (Excel)</t>
    </r>
  </si>
  <si>
    <r>
      <t>Field movement comms</t>
    </r>
    <r>
      <rPr>
        <sz val="8"/>
        <color theme="1"/>
        <rFont val="Segoe UI"/>
        <family val="2"/>
      </rPr>
      <t xml:space="preserve"> </t>
    </r>
    <r>
      <rPr>
        <sz val="12"/>
        <color theme="1"/>
        <rFont val="Calibri"/>
        <family val="2"/>
        <scheme val="minor"/>
      </rPr>
      <t>→ historique des tests</t>
    </r>
  </si>
  <si>
    <r>
      <t xml:space="preserve">Satellite kits check </t>
    </r>
    <r>
      <rPr>
        <sz val="11"/>
        <color theme="1"/>
        <rFont val="Calibri"/>
        <family val="2"/>
        <scheme val="minor"/>
      </rPr>
      <t>→ Checklist trimestrielle signée</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</si>
</sst>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24" x14ac:knownFonts="1">
    <font>
      <sz val="11"/>
      <color theme="1"/>
      <name val="Calibri"/>
      <family val="2"/>
      <scheme val="minor"/>
    </font>
    <font>
      <sz val="11"/>
      <color rgb="FFFF0000"/>
      <name val="Calibri"/>
      <family val="2"/>
      <scheme val="minor"/>
    </font>
    <font>
      <b/>
      <sz val="11"/>
      <color theme="1"/>
      <name val="Calibri"/>
      <family val="2"/>
      <scheme val="minor"/>
    </font>
    <font>
      <b/>
      <sz val="10"/>
      <name val="Arial"/>
      <family val="2"/>
    </font>
    <font>
      <b/>
      <sz val="8"/>
      <name val="Arial"/>
      <family val="2"/>
    </font>
    <font>
      <sz val="10"/>
      <name val="Arial"/>
      <family val="2"/>
    </font>
    <font>
      <sz val="10"/>
      <name val="Arial Narrow"/>
      <family val="2"/>
    </font>
    <font>
      <i/>
      <sz val="11"/>
      <color theme="1"/>
      <name val="Calibri"/>
      <family val="2"/>
      <scheme val="minor"/>
    </font>
    <font>
      <b/>
      <sz val="11"/>
      <color rgb="FFFF0000"/>
      <name val="Calibri"/>
      <family val="2"/>
      <scheme val="minor"/>
    </font>
    <font>
      <b/>
      <sz val="11"/>
      <color rgb="FF0070C0"/>
      <name val="Calibri"/>
      <family val="2"/>
      <scheme val="minor"/>
    </font>
    <font>
      <sz val="11"/>
      <name val="Calibri"/>
      <family val="2"/>
      <scheme val="minor"/>
    </font>
    <font>
      <sz val="11"/>
      <color theme="9" tint="-0.249977111117893"/>
      <name val="Calibri"/>
      <family val="2"/>
      <scheme val="minor"/>
    </font>
    <font>
      <b/>
      <sz val="11"/>
      <color theme="0" tint="-0.499984740745262"/>
      <name val="Calibri"/>
      <family val="2"/>
      <scheme val="minor"/>
    </font>
    <font>
      <sz val="11"/>
      <color theme="0" tint="-0.499984740745262"/>
      <name val="Calibri"/>
      <family val="2"/>
      <scheme val="minor"/>
    </font>
    <font>
      <sz val="10"/>
      <color rgb="FF424242"/>
      <name val="Segoe UI"/>
      <family val="2"/>
    </font>
    <font>
      <sz val="9"/>
      <color indexed="81"/>
      <name val="Tahoma"/>
      <family val="2"/>
    </font>
    <font>
      <b/>
      <sz val="9"/>
      <color indexed="81"/>
      <name val="Tahoma"/>
      <family val="2"/>
    </font>
    <font>
      <i/>
      <sz val="10"/>
      <name val="Calibri"/>
      <family val="2"/>
    </font>
    <font>
      <u/>
      <sz val="11"/>
      <color theme="1"/>
      <name val="Calibri"/>
      <family val="2"/>
      <scheme val="minor"/>
    </font>
    <font>
      <sz val="8"/>
      <color theme="1"/>
      <name val="Segoe UI"/>
      <family val="2"/>
    </font>
    <font>
      <sz val="11"/>
      <color theme="1"/>
      <name val="Segoe UI"/>
      <family val="2"/>
    </font>
    <font>
      <i/>
      <sz val="11"/>
      <color theme="1"/>
      <name val="Segoe UI"/>
      <family val="2"/>
    </font>
    <font>
      <sz val="12"/>
      <color theme="1"/>
      <name val="Calibri"/>
      <family val="2"/>
      <scheme val="minor"/>
    </font>
    <font>
      <i/>
      <sz val="12"/>
      <color theme="1"/>
      <name val="Calibri"/>
      <family val="2"/>
      <scheme val="minor"/>
    </font>
  </fonts>
  <fills count="11">
    <fill>
      <patternFill patternType="none"/>
    </fill>
    <fill>
      <patternFill patternType="gray125"/>
    </fill>
    <fill>
      <patternFill patternType="solid">
        <fgColor theme="0"/>
        <bgColor indexed="64"/>
      </patternFill>
    </fill>
    <fill>
      <patternFill patternType="solid">
        <fgColor theme="3" tint="0.79998168889431442"/>
        <bgColor indexed="64"/>
      </patternFill>
    </fill>
    <fill>
      <patternFill patternType="solid">
        <fgColor theme="0" tint="-0.14999847407452621"/>
        <bgColor indexed="64"/>
      </patternFill>
    </fill>
    <fill>
      <patternFill patternType="solid">
        <fgColor theme="6" tint="0.79998168889431442"/>
        <bgColor indexed="64"/>
      </patternFill>
    </fill>
    <fill>
      <patternFill patternType="solid">
        <fgColor rgb="FFFAFAFA"/>
        <bgColor indexed="64"/>
      </patternFill>
    </fill>
    <fill>
      <patternFill patternType="solid">
        <fgColor rgb="FFF5F5F5"/>
        <bgColor indexed="64"/>
      </patternFill>
    </fill>
    <fill>
      <patternFill patternType="solid">
        <fgColor theme="0" tint="-4.9989318521683403E-2"/>
        <bgColor indexed="64"/>
      </patternFill>
    </fill>
    <fill>
      <patternFill patternType="solid">
        <fgColor theme="9" tint="0.39997558519241921"/>
        <bgColor indexed="64"/>
      </patternFill>
    </fill>
    <fill>
      <patternFill patternType="solid">
        <fgColor rgb="FFFFFF00"/>
        <bgColor indexed="64"/>
      </patternFill>
    </fill>
  </fills>
  <borders count="52">
    <border>
      <left/>
      <right/>
      <top/>
      <bottom/>
      <diagonal/>
    </border>
    <border>
      <left/>
      <right style="medium">
        <color indexed="64"/>
      </right>
      <top style="medium">
        <color indexed="64"/>
      </top>
      <bottom style="thin">
        <color indexed="64"/>
      </bottom>
      <diagonal/>
    </border>
    <border>
      <left/>
      <right/>
      <top style="medium">
        <color indexed="64"/>
      </top>
      <bottom/>
      <diagonal/>
    </border>
    <border>
      <left/>
      <right style="medium">
        <color indexed="64"/>
      </right>
      <top/>
      <bottom style="hair">
        <color indexed="64"/>
      </bottom>
      <diagonal/>
    </border>
    <border>
      <left style="thin">
        <color indexed="64"/>
      </left>
      <right style="thin">
        <color indexed="64"/>
      </right>
      <top style="thin">
        <color indexed="64"/>
      </top>
      <bottom style="hair">
        <color indexed="64"/>
      </bottom>
      <diagonal/>
    </border>
    <border>
      <left/>
      <right style="medium">
        <color indexed="64"/>
      </right>
      <top style="hair">
        <color indexed="64"/>
      </top>
      <bottom style="hair">
        <color indexed="64"/>
      </bottom>
      <diagonal/>
    </border>
    <border>
      <left style="thin">
        <color auto="1"/>
      </left>
      <right style="thin">
        <color auto="1"/>
      </right>
      <top style="hair">
        <color auto="1"/>
      </top>
      <bottom style="hair">
        <color auto="1"/>
      </bottom>
      <diagonal/>
    </border>
    <border>
      <left/>
      <right style="medium">
        <color indexed="64"/>
      </right>
      <top style="hair">
        <color indexed="64"/>
      </top>
      <bottom style="medium">
        <color indexed="64"/>
      </bottom>
      <diagonal/>
    </border>
    <border>
      <left style="thin">
        <color auto="1"/>
      </left>
      <right style="thin">
        <color auto="1"/>
      </right>
      <top style="hair">
        <color auto="1"/>
      </top>
      <bottom style="medium">
        <color indexed="64"/>
      </bottom>
      <diagonal/>
    </border>
    <border>
      <left/>
      <right style="medium">
        <color indexed="64"/>
      </right>
      <top style="thin">
        <color indexed="64"/>
      </top>
      <bottom style="hair">
        <color indexed="64"/>
      </bottom>
      <diagonal/>
    </border>
    <border>
      <left/>
      <right style="medium">
        <color indexed="64"/>
      </right>
      <top/>
      <bottom/>
      <diagonal/>
    </border>
    <border>
      <left/>
      <right style="medium">
        <color indexed="64"/>
      </right>
      <top style="medium">
        <color indexed="64"/>
      </top>
      <bottom/>
      <diagonal/>
    </border>
    <border>
      <left style="thin">
        <color auto="1"/>
      </left>
      <right style="thin">
        <color auto="1"/>
      </right>
      <top/>
      <bottom style="hair">
        <color auto="1"/>
      </bottom>
      <diagonal/>
    </border>
    <border>
      <left style="medium">
        <color indexed="64"/>
      </left>
      <right style="thin">
        <color auto="1"/>
      </right>
      <top style="hair">
        <color auto="1"/>
      </top>
      <bottom style="hair">
        <color indexed="64"/>
      </bottom>
      <diagonal/>
    </border>
    <border>
      <left/>
      <right/>
      <top/>
      <bottom style="hair">
        <color indexed="64"/>
      </bottom>
      <diagonal/>
    </border>
    <border>
      <left/>
      <right/>
      <top style="hair">
        <color indexed="64"/>
      </top>
      <bottom style="hair">
        <color indexed="64"/>
      </bottom>
      <diagonal/>
    </border>
    <border>
      <left/>
      <right/>
      <top style="hair">
        <color indexed="64"/>
      </top>
      <bottom style="medium">
        <color indexed="64"/>
      </bottom>
      <diagonal/>
    </border>
    <border>
      <left/>
      <right/>
      <top style="thin">
        <color indexed="64"/>
      </top>
      <bottom style="hair">
        <color indexed="64"/>
      </bottom>
      <diagonal/>
    </border>
    <border>
      <left/>
      <right/>
      <top style="hair">
        <color indexed="64"/>
      </top>
      <bottom/>
      <diagonal/>
    </border>
    <border>
      <left style="thin">
        <color auto="1"/>
      </left>
      <right style="thin">
        <color auto="1"/>
      </right>
      <top style="hair">
        <color auto="1"/>
      </top>
      <bottom/>
      <diagonal/>
    </border>
    <border>
      <left/>
      <right style="thin">
        <color indexed="64"/>
      </right>
      <top style="medium">
        <color indexed="64"/>
      </top>
      <bottom/>
      <diagonal/>
    </border>
    <border>
      <left/>
      <right style="thin">
        <color indexed="64"/>
      </right>
      <top style="hair">
        <color auto="1"/>
      </top>
      <bottom style="hair">
        <color auto="1"/>
      </bottom>
      <diagonal/>
    </border>
    <border>
      <left style="medium">
        <color indexed="64"/>
      </left>
      <right style="thin">
        <color indexed="64"/>
      </right>
      <top style="medium">
        <color indexed="64"/>
      </top>
      <bottom/>
      <diagonal/>
    </border>
    <border>
      <left style="thin">
        <color indexed="64"/>
      </left>
      <right style="thin">
        <color indexed="64"/>
      </right>
      <top style="medium">
        <color indexed="64"/>
      </top>
      <bottom/>
      <diagonal/>
    </border>
    <border>
      <left style="thin">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
      <left style="thin">
        <color auto="1"/>
      </left>
      <right style="hair">
        <color indexed="64"/>
      </right>
      <top style="hair">
        <color indexed="64"/>
      </top>
      <bottom style="hair">
        <color indexed="64"/>
      </bottom>
      <diagonal/>
    </border>
    <border>
      <left style="thin">
        <color auto="1"/>
      </left>
      <right style="medium">
        <color indexed="64"/>
      </right>
      <top style="hair">
        <color auto="1"/>
      </top>
      <bottom style="hair">
        <color auto="1"/>
      </bottom>
      <diagonal/>
    </border>
    <border>
      <left style="medium">
        <color indexed="64"/>
      </left>
      <right style="thin">
        <color auto="1"/>
      </right>
      <top style="hair">
        <color auto="1"/>
      </top>
      <bottom style="medium">
        <color indexed="64"/>
      </bottom>
      <diagonal/>
    </border>
    <border>
      <left style="thin">
        <color auto="1"/>
      </left>
      <right style="medium">
        <color indexed="64"/>
      </right>
      <top style="hair">
        <color auto="1"/>
      </top>
      <bottom style="medium">
        <color indexed="64"/>
      </bottom>
      <diagonal/>
    </border>
    <border>
      <left style="thin">
        <color indexed="64"/>
      </left>
      <right style="thin">
        <color indexed="64"/>
      </right>
      <top/>
      <bottom/>
      <diagonal/>
    </border>
    <border>
      <left style="medium">
        <color indexed="64"/>
      </left>
      <right style="thin">
        <color auto="1"/>
      </right>
      <top style="medium">
        <color indexed="64"/>
      </top>
      <bottom style="hair">
        <color auto="1"/>
      </bottom>
      <diagonal/>
    </border>
    <border>
      <left style="thin">
        <color auto="1"/>
      </left>
      <right style="thin">
        <color auto="1"/>
      </right>
      <top style="medium">
        <color indexed="64"/>
      </top>
      <bottom style="hair">
        <color auto="1"/>
      </bottom>
      <diagonal/>
    </border>
    <border>
      <left style="thin">
        <color auto="1"/>
      </left>
      <right/>
      <top style="medium">
        <color indexed="64"/>
      </top>
      <bottom style="hair">
        <color auto="1"/>
      </bottom>
      <diagonal/>
    </border>
    <border>
      <left style="thin">
        <color auto="1"/>
      </left>
      <right style="medium">
        <color indexed="64"/>
      </right>
      <top style="medium">
        <color indexed="64"/>
      </top>
      <bottom style="hair">
        <color auto="1"/>
      </bottom>
      <diagonal/>
    </border>
    <border>
      <left style="thin">
        <color auto="1"/>
      </left>
      <right/>
      <top style="hair">
        <color auto="1"/>
      </top>
      <bottom style="hair">
        <color auto="1"/>
      </bottom>
      <diagonal/>
    </border>
    <border>
      <left style="medium">
        <color indexed="64"/>
      </left>
      <right style="thin">
        <color auto="1"/>
      </right>
      <top style="hair">
        <color auto="1"/>
      </top>
      <bottom/>
      <diagonal/>
    </border>
    <border>
      <left style="thin">
        <color auto="1"/>
      </left>
      <right/>
      <top style="hair">
        <color auto="1"/>
      </top>
      <bottom/>
      <diagonal/>
    </border>
    <border>
      <left style="thin">
        <color auto="1"/>
      </left>
      <right/>
      <top style="hair">
        <color auto="1"/>
      </top>
      <bottom style="medium">
        <color indexed="64"/>
      </bottom>
      <diagonal/>
    </border>
    <border>
      <left style="medium">
        <color rgb="FFE6E6E6"/>
      </left>
      <right style="medium">
        <color rgb="FFE6E6E6"/>
      </right>
      <top style="medium">
        <color rgb="FFE6E6E6"/>
      </top>
      <bottom style="medium">
        <color rgb="FFE6E6E6"/>
      </bottom>
      <diagonal/>
    </border>
    <border>
      <left/>
      <right style="medium">
        <color rgb="FFE6E6E6"/>
      </right>
      <top style="medium">
        <color rgb="FFE6E6E6"/>
      </top>
      <bottom style="medium">
        <color rgb="FFE6E6E6"/>
      </bottom>
      <diagonal/>
    </border>
    <border>
      <left style="medium">
        <color rgb="FFE6E6E6"/>
      </left>
      <right style="medium">
        <color rgb="FFE6E6E6"/>
      </right>
      <top/>
      <bottom style="medium">
        <color rgb="FFE6E6E6"/>
      </bottom>
      <diagonal/>
    </border>
    <border>
      <left/>
      <right style="medium">
        <color rgb="FFE6E6E6"/>
      </right>
      <top/>
      <bottom style="medium">
        <color rgb="FFE6E6E6"/>
      </bottom>
      <diagonal/>
    </border>
    <border>
      <left style="hair">
        <color indexed="64"/>
      </left>
      <right style="hair">
        <color indexed="64"/>
      </right>
      <top style="hair">
        <color indexed="64"/>
      </top>
      <bottom style="hair">
        <color indexed="64"/>
      </bottom>
      <diagonal/>
    </border>
    <border>
      <left style="medium">
        <color rgb="FFE6E6E6"/>
      </left>
      <right style="medium">
        <color rgb="FFE6E6E6"/>
      </right>
      <top style="medium">
        <color rgb="FFE6E6E6"/>
      </top>
      <bottom/>
      <diagonal/>
    </border>
    <border>
      <left/>
      <right style="medium">
        <color rgb="FFE6E6E6"/>
      </right>
      <top style="medium">
        <color rgb="FFE6E6E6"/>
      </top>
      <bottom/>
      <diagonal/>
    </border>
    <border>
      <left style="medium">
        <color indexed="64"/>
      </left>
      <right/>
      <top/>
      <bottom/>
      <diagonal/>
    </border>
    <border>
      <left/>
      <right/>
      <top style="medium">
        <color indexed="64"/>
      </top>
      <bottom style="medium">
        <color indexed="64"/>
      </bottom>
      <diagonal/>
    </border>
    <border>
      <left style="medium">
        <color indexed="64"/>
      </left>
      <right/>
      <top style="dashed">
        <color indexed="64"/>
      </top>
      <bottom style="dashed">
        <color indexed="64"/>
      </bottom>
      <diagonal/>
    </border>
    <border>
      <left/>
      <right style="medium">
        <color indexed="64"/>
      </right>
      <top style="dashed">
        <color indexed="64"/>
      </top>
      <bottom style="dashed">
        <color indexed="64"/>
      </bottom>
      <diagonal/>
    </border>
    <border>
      <left style="medium">
        <color indexed="64"/>
      </left>
      <right/>
      <top style="dashed">
        <color indexed="64"/>
      </top>
      <bottom style="medium">
        <color indexed="64"/>
      </bottom>
      <diagonal/>
    </border>
    <border>
      <left/>
      <right style="medium">
        <color indexed="64"/>
      </right>
      <top style="dashed">
        <color indexed="64"/>
      </top>
      <bottom style="medium">
        <color indexed="64"/>
      </bottom>
      <diagonal/>
    </border>
  </borders>
  <cellStyleXfs count="1">
    <xf numFmtId="0" fontId="0" fillId="0" borderId="0"/>
  </cellStyleXfs>
  <cellXfs count="124">
    <xf numFmtId="0" fontId="0" fillId="0" borderId="0" xfId="0"/>
    <xf numFmtId="0" fontId="3" fillId="3" borderId="1" xfId="0" applyFont="1" applyFill="1" applyBorder="1"/>
    <xf numFmtId="0" fontId="5" fillId="3" borderId="2" xfId="0" applyFont="1" applyFill="1" applyBorder="1" applyProtection="1">
      <protection locked="0"/>
    </xf>
    <xf numFmtId="0" fontId="6" fillId="4" borderId="4" xfId="0" applyFont="1" applyFill="1" applyBorder="1" applyAlignment="1" applyProtection="1">
      <alignment horizontal="left" vertical="center"/>
      <protection locked="0"/>
    </xf>
    <xf numFmtId="0" fontId="6" fillId="4" borderId="6" xfId="0" applyFont="1" applyFill="1" applyBorder="1" applyAlignment="1" applyProtection="1">
      <alignment horizontal="left" vertical="center"/>
      <protection locked="0"/>
    </xf>
    <xf numFmtId="0" fontId="6" fillId="4" borderId="8" xfId="0" applyFont="1" applyFill="1" applyBorder="1" applyAlignment="1" applyProtection="1">
      <alignment horizontal="left" vertical="center"/>
      <protection locked="0"/>
    </xf>
    <xf numFmtId="0" fontId="2" fillId="3" borderId="1" xfId="0" applyFont="1" applyFill="1" applyBorder="1"/>
    <xf numFmtId="0" fontId="2" fillId="3" borderId="11" xfId="0" applyFont="1" applyFill="1" applyBorder="1"/>
    <xf numFmtId="0" fontId="0" fillId="0" borderId="9" xfId="0" applyBorder="1"/>
    <xf numFmtId="0" fontId="0" fillId="0" borderId="5" xfId="0" applyBorder="1"/>
    <xf numFmtId="0" fontId="6" fillId="4" borderId="12" xfId="0" applyFont="1" applyFill="1" applyBorder="1" applyAlignment="1" applyProtection="1">
      <alignment horizontal="left" vertical="center"/>
      <protection locked="0"/>
    </xf>
    <xf numFmtId="0" fontId="6" fillId="4" borderId="13" xfId="0" applyFont="1" applyFill="1" applyBorder="1" applyAlignment="1" applyProtection="1">
      <alignment horizontal="left" vertical="center"/>
      <protection locked="0"/>
    </xf>
    <xf numFmtId="0" fontId="0" fillId="0" borderId="5" xfId="0" applyBorder="1" applyAlignment="1">
      <alignment wrapText="1"/>
    </xf>
    <xf numFmtId="0" fontId="3" fillId="3" borderId="2" xfId="0" applyFont="1" applyFill="1" applyBorder="1"/>
    <xf numFmtId="0" fontId="0" fillId="2" borderId="14" xfId="0" applyFill="1" applyBorder="1"/>
    <xf numFmtId="0" fontId="0" fillId="2" borderId="15" xfId="0" applyFill="1" applyBorder="1"/>
    <xf numFmtId="0" fontId="0" fillId="0" borderId="17" xfId="0" applyBorder="1"/>
    <xf numFmtId="0" fontId="0" fillId="0" borderId="15" xfId="0" applyBorder="1"/>
    <xf numFmtId="0" fontId="0" fillId="0" borderId="16" xfId="0" applyBorder="1"/>
    <xf numFmtId="0" fontId="0" fillId="0" borderId="15" xfId="0" applyBorder="1" applyAlignment="1">
      <alignment wrapText="1"/>
    </xf>
    <xf numFmtId="0" fontId="2" fillId="3" borderId="2" xfId="0" applyFont="1" applyFill="1" applyBorder="1"/>
    <xf numFmtId="0" fontId="0" fillId="0" borderId="14" xfId="0" applyBorder="1"/>
    <xf numFmtId="0" fontId="5" fillId="3" borderId="0" xfId="0" applyFont="1" applyFill="1" applyProtection="1">
      <protection locked="0"/>
    </xf>
    <xf numFmtId="0" fontId="0" fillId="4" borderId="0" xfId="0" applyFill="1"/>
    <xf numFmtId="0" fontId="0" fillId="0" borderId="13" xfId="0" applyBorder="1"/>
    <xf numFmtId="0" fontId="0" fillId="0" borderId="0" xfId="0" applyAlignment="1">
      <alignment wrapText="1"/>
    </xf>
    <xf numFmtId="0" fontId="6" fillId="4" borderId="19" xfId="0" applyFont="1" applyFill="1" applyBorder="1" applyAlignment="1" applyProtection="1">
      <alignment horizontal="left" vertical="center"/>
      <protection locked="0"/>
    </xf>
    <xf numFmtId="0" fontId="0" fillId="0" borderId="18" xfId="0" applyBorder="1"/>
    <xf numFmtId="0" fontId="3" fillId="4" borderId="0" xfId="0" applyFont="1" applyFill="1"/>
    <xf numFmtId="0" fontId="4" fillId="4" borderId="0" xfId="0" applyFont="1" applyFill="1" applyAlignment="1">
      <alignment horizontal="center"/>
    </xf>
    <xf numFmtId="0" fontId="9" fillId="4" borderId="0" xfId="0" applyFont="1" applyFill="1" applyAlignment="1">
      <alignment horizontal="right"/>
    </xf>
    <xf numFmtId="0" fontId="6" fillId="5" borderId="4" xfId="0" applyFont="1" applyFill="1" applyBorder="1" applyAlignment="1" applyProtection="1">
      <alignment horizontal="left" vertical="center"/>
      <protection locked="0"/>
    </xf>
    <xf numFmtId="0" fontId="0" fillId="3" borderId="22" xfId="0" applyFill="1" applyBorder="1" applyAlignment="1">
      <alignment horizontal="center"/>
    </xf>
    <xf numFmtId="0" fontId="0" fillId="3" borderId="20" xfId="0" applyFill="1" applyBorder="1" applyAlignment="1">
      <alignment horizontal="center"/>
    </xf>
    <xf numFmtId="0" fontId="0" fillId="3" borderId="23" xfId="0" applyFill="1" applyBorder="1" applyAlignment="1">
      <alignment horizontal="center"/>
    </xf>
    <xf numFmtId="0" fontId="0" fillId="3" borderId="24" xfId="0" applyFill="1" applyBorder="1" applyAlignment="1">
      <alignment horizontal="center"/>
    </xf>
    <xf numFmtId="0" fontId="1" fillId="3" borderId="25" xfId="0" applyFont="1" applyFill="1" applyBorder="1" applyAlignment="1">
      <alignment horizontal="center"/>
    </xf>
    <xf numFmtId="0" fontId="5" fillId="4" borderId="2" xfId="0" applyFont="1" applyFill="1" applyBorder="1" applyAlignment="1" applyProtection="1">
      <alignment horizontal="center"/>
      <protection locked="0"/>
    </xf>
    <xf numFmtId="0" fontId="5" fillId="4" borderId="0" xfId="0" applyFont="1" applyFill="1" applyAlignment="1" applyProtection="1">
      <alignment horizontal="center"/>
      <protection locked="0"/>
    </xf>
    <xf numFmtId="0" fontId="0" fillId="4" borderId="0" xfId="0" applyFill="1" applyAlignment="1">
      <alignment horizontal="center"/>
    </xf>
    <xf numFmtId="0" fontId="2" fillId="4" borderId="6" xfId="0" applyFont="1" applyFill="1" applyBorder="1" applyAlignment="1">
      <alignment horizontal="center" vertical="center"/>
    </xf>
    <xf numFmtId="0" fontId="2" fillId="4" borderId="21" xfId="0" applyFont="1" applyFill="1" applyBorder="1" applyAlignment="1">
      <alignment horizontal="center" vertical="center"/>
    </xf>
    <xf numFmtId="0" fontId="2" fillId="4" borderId="26" xfId="0" applyFont="1" applyFill="1" applyBorder="1" applyAlignment="1">
      <alignment horizontal="center" vertical="center"/>
    </xf>
    <xf numFmtId="0" fontId="0" fillId="2" borderId="3" xfId="0" applyFill="1" applyBorder="1"/>
    <xf numFmtId="0" fontId="0" fillId="2" borderId="5" xfId="0" applyFill="1" applyBorder="1"/>
    <xf numFmtId="0" fontId="8" fillId="4" borderId="21" xfId="0" applyFont="1" applyFill="1" applyBorder="1" applyAlignment="1">
      <alignment horizontal="center" vertical="center"/>
    </xf>
    <xf numFmtId="0" fontId="11" fillId="3" borderId="20" xfId="0" applyFont="1" applyFill="1" applyBorder="1" applyAlignment="1">
      <alignment horizontal="center"/>
    </xf>
    <xf numFmtId="0" fontId="6" fillId="5" borderId="6" xfId="0" applyFont="1" applyFill="1" applyBorder="1" applyAlignment="1" applyProtection="1">
      <alignment horizontal="left" vertical="center"/>
      <protection locked="0"/>
    </xf>
    <xf numFmtId="0" fontId="4" fillId="2" borderId="0" xfId="0" applyFont="1" applyFill="1" applyAlignment="1">
      <alignment horizontal="center"/>
    </xf>
    <xf numFmtId="3" fontId="6" fillId="4" borderId="4" xfId="0" applyNumberFormat="1" applyFont="1" applyFill="1" applyBorder="1" applyAlignment="1">
      <alignment horizontal="center" vertical="center"/>
    </xf>
    <xf numFmtId="0" fontId="6" fillId="4" borderId="4" xfId="0" applyFont="1" applyFill="1" applyBorder="1" applyAlignment="1">
      <alignment horizontal="center" vertical="center"/>
    </xf>
    <xf numFmtId="0" fontId="6" fillId="4" borderId="30" xfId="0" applyFont="1" applyFill="1" applyBorder="1" applyAlignment="1" applyProtection="1">
      <alignment horizontal="left" vertical="center"/>
      <protection locked="0"/>
    </xf>
    <xf numFmtId="0" fontId="0" fillId="2" borderId="0" xfId="0" applyFill="1"/>
    <xf numFmtId="0" fontId="10" fillId="2" borderId="31" xfId="0" applyFont="1" applyFill="1" applyBorder="1" applyAlignment="1">
      <alignment vertical="center"/>
    </xf>
    <xf numFmtId="0" fontId="12" fillId="2" borderId="32" xfId="0" applyFont="1" applyFill="1" applyBorder="1" applyAlignment="1">
      <alignment horizontal="center" vertical="center"/>
    </xf>
    <xf numFmtId="0" fontId="12" fillId="2" borderId="33" xfId="0" applyFont="1" applyFill="1" applyBorder="1" applyAlignment="1">
      <alignment horizontal="center" vertical="center"/>
    </xf>
    <xf numFmtId="0" fontId="12" fillId="2" borderId="34" xfId="0" applyFont="1" applyFill="1" applyBorder="1" applyAlignment="1">
      <alignment horizontal="center" vertical="center"/>
    </xf>
    <xf numFmtId="0" fontId="8" fillId="2" borderId="13" xfId="0" applyFont="1" applyFill="1" applyBorder="1" applyAlignment="1">
      <alignment horizontal="center" vertical="center"/>
    </xf>
    <xf numFmtId="0" fontId="13" fillId="2" borderId="6" xfId="0" applyFont="1" applyFill="1" applyBorder="1" applyAlignment="1">
      <alignment vertical="center"/>
    </xf>
    <xf numFmtId="9" fontId="13" fillId="2" borderId="35" xfId="0" applyNumberFormat="1" applyFont="1" applyFill="1" applyBorder="1" applyAlignment="1">
      <alignment vertical="center"/>
    </xf>
    <xf numFmtId="0" fontId="13" fillId="2" borderId="27" xfId="0" applyFont="1" applyFill="1" applyBorder="1" applyAlignment="1">
      <alignment vertical="center"/>
    </xf>
    <xf numFmtId="0" fontId="8" fillId="2" borderId="36" xfId="0" applyFont="1" applyFill="1" applyBorder="1" applyAlignment="1">
      <alignment horizontal="center" vertical="center"/>
    </xf>
    <xf numFmtId="0" fontId="13" fillId="2" borderId="19" xfId="0" applyFont="1" applyFill="1" applyBorder="1" applyAlignment="1">
      <alignment vertical="center"/>
    </xf>
    <xf numFmtId="9" fontId="13" fillId="2" borderId="37" xfId="0" applyNumberFormat="1" applyFont="1" applyFill="1" applyBorder="1" applyAlignment="1">
      <alignment vertical="center"/>
    </xf>
    <xf numFmtId="0" fontId="8" fillId="2" borderId="28" xfId="0" applyFont="1" applyFill="1" applyBorder="1" applyAlignment="1">
      <alignment horizontal="center" vertical="center"/>
    </xf>
    <xf numFmtId="0" fontId="13" fillId="2" borderId="8" xfId="0" applyFont="1" applyFill="1" applyBorder="1" applyAlignment="1">
      <alignment horizontal="left" vertical="center"/>
    </xf>
    <xf numFmtId="0" fontId="13" fillId="2" borderId="38" xfId="0" applyFont="1" applyFill="1" applyBorder="1" applyAlignment="1">
      <alignment horizontal="left" vertical="center"/>
    </xf>
    <xf numFmtId="0" fontId="13" fillId="2" borderId="29" xfId="0" applyFont="1" applyFill="1" applyBorder="1" applyAlignment="1">
      <alignment vertical="center"/>
    </xf>
    <xf numFmtId="0" fontId="13" fillId="2" borderId="29" xfId="0" applyFont="1" applyFill="1" applyBorder="1" applyAlignment="1">
      <alignment horizontal="left" vertical="center"/>
    </xf>
    <xf numFmtId="0" fontId="0" fillId="2" borderId="5" xfId="0" applyFill="1" applyBorder="1" applyAlignment="1">
      <alignment wrapText="1"/>
    </xf>
    <xf numFmtId="0" fontId="0" fillId="2" borderId="3" xfId="0" applyFill="1" applyBorder="1" applyAlignment="1">
      <alignment wrapText="1"/>
    </xf>
    <xf numFmtId="0" fontId="0" fillId="0" borderId="9" xfId="0" applyBorder="1" applyAlignment="1">
      <alignment wrapText="1"/>
    </xf>
    <xf numFmtId="0" fontId="0" fillId="0" borderId="10" xfId="0" applyBorder="1"/>
    <xf numFmtId="0" fontId="6" fillId="5" borderId="19" xfId="0" applyFont="1" applyFill="1" applyBorder="1" applyAlignment="1" applyProtection="1">
      <alignment horizontal="left" vertical="center"/>
      <protection locked="0"/>
    </xf>
    <xf numFmtId="0" fontId="2" fillId="0" borderId="0" xfId="0" applyFont="1"/>
    <xf numFmtId="0" fontId="14" fillId="7" borderId="39" xfId="0" applyFont="1" applyFill="1" applyBorder="1" applyAlignment="1">
      <alignment horizontal="left" vertical="top" wrapText="1" indent="1"/>
    </xf>
    <xf numFmtId="0" fontId="14" fillId="7" borderId="40" xfId="0" applyFont="1" applyFill="1" applyBorder="1" applyAlignment="1">
      <alignment horizontal="left" vertical="top" wrapText="1" indent="1"/>
    </xf>
    <xf numFmtId="0" fontId="14" fillId="6" borderId="41" xfId="0" applyFont="1" applyFill="1" applyBorder="1" applyAlignment="1">
      <alignment horizontal="left" vertical="top" wrapText="1" indent="1"/>
    </xf>
    <xf numFmtId="0" fontId="0" fillId="0" borderId="17" xfId="0" applyBorder="1" applyAlignment="1">
      <alignment wrapText="1"/>
    </xf>
    <xf numFmtId="0" fontId="0" fillId="0" borderId="14" xfId="0" applyBorder="1" applyAlignment="1">
      <alignment wrapText="1"/>
    </xf>
    <xf numFmtId="0" fontId="7" fillId="4" borderId="0" xfId="0" applyFont="1" applyFill="1" applyAlignment="1">
      <alignment horizontal="right"/>
    </xf>
    <xf numFmtId="0" fontId="17" fillId="4" borderId="0" xfId="0" applyFont="1" applyFill="1" applyAlignment="1">
      <alignment horizontal="right" vertical="top" wrapText="1"/>
    </xf>
    <xf numFmtId="0" fontId="7" fillId="8" borderId="0" xfId="0" applyFont="1" applyFill="1" applyAlignment="1">
      <alignment horizontal="right"/>
    </xf>
    <xf numFmtId="0" fontId="0" fillId="2" borderId="0" xfId="0" applyFill="1" applyAlignment="1">
      <alignment wrapText="1"/>
    </xf>
    <xf numFmtId="0" fontId="14" fillId="7" borderId="44" xfId="0" applyFont="1" applyFill="1" applyBorder="1" applyAlignment="1">
      <alignment horizontal="left" vertical="top" wrapText="1" indent="1"/>
    </xf>
    <xf numFmtId="0" fontId="14" fillId="7" borderId="45" xfId="0" applyFont="1" applyFill="1" applyBorder="1" applyAlignment="1">
      <alignment horizontal="left" vertical="top" wrapText="1" indent="1"/>
    </xf>
    <xf numFmtId="0" fontId="0" fillId="8" borderId="43" xfId="0" applyFill="1" applyBorder="1" applyAlignment="1">
      <alignment wrapText="1"/>
    </xf>
    <xf numFmtId="0" fontId="6" fillId="5" borderId="43" xfId="0" applyFont="1" applyFill="1" applyBorder="1" applyAlignment="1" applyProtection="1">
      <alignment horizontal="left" vertical="center"/>
      <protection locked="0"/>
    </xf>
    <xf numFmtId="0" fontId="6" fillId="9" borderId="4" xfId="0" applyFont="1" applyFill="1" applyBorder="1" applyAlignment="1" applyProtection="1">
      <alignment horizontal="left" vertical="center"/>
      <protection locked="0"/>
    </xf>
    <xf numFmtId="0" fontId="6" fillId="9" borderId="6" xfId="0" applyFont="1" applyFill="1" applyBorder="1" applyAlignment="1" applyProtection="1">
      <alignment horizontal="left" vertical="center"/>
      <protection locked="0"/>
    </xf>
    <xf numFmtId="0" fontId="3" fillId="3" borderId="0" xfId="0" applyFont="1" applyFill="1"/>
    <xf numFmtId="0" fontId="2" fillId="3" borderId="0" xfId="0" applyFont="1" applyFill="1"/>
    <xf numFmtId="0" fontId="14" fillId="6" borderId="43" xfId="0" applyFont="1" applyFill="1" applyBorder="1" applyAlignment="1">
      <alignment horizontal="left" vertical="top" wrapText="1" indent="1"/>
    </xf>
    <xf numFmtId="0" fontId="6" fillId="5" borderId="12" xfId="0" applyFont="1" applyFill="1" applyBorder="1" applyAlignment="1" applyProtection="1">
      <alignment horizontal="left" vertical="center"/>
      <protection locked="0"/>
    </xf>
    <xf numFmtId="0" fontId="3" fillId="4" borderId="0" xfId="0" applyFont="1" applyFill="1" applyAlignment="1">
      <alignment wrapText="1"/>
    </xf>
    <xf numFmtId="0" fontId="7" fillId="4" borderId="0" xfId="0" applyFont="1" applyFill="1" applyAlignment="1">
      <alignment horizontal="right" wrapText="1"/>
    </xf>
    <xf numFmtId="0" fontId="14" fillId="6" borderId="42" xfId="0" applyFont="1" applyFill="1" applyBorder="1" applyAlignment="1">
      <alignment horizontal="left" vertical="top" wrapText="1" indent="1"/>
    </xf>
    <xf numFmtId="0" fontId="0" fillId="10" borderId="5" xfId="0" applyFill="1" applyBorder="1" applyAlignment="1">
      <alignment wrapText="1"/>
    </xf>
    <xf numFmtId="0" fontId="0" fillId="0" borderId="10" xfId="0" applyFill="1" applyBorder="1"/>
    <xf numFmtId="0" fontId="0" fillId="0" borderId="10" xfId="0" applyFill="1" applyBorder="1" applyAlignment="1">
      <alignment wrapText="1"/>
    </xf>
    <xf numFmtId="0" fontId="0" fillId="0" borderId="5" xfId="0" applyFill="1" applyBorder="1" applyAlignment="1">
      <alignment wrapText="1"/>
    </xf>
    <xf numFmtId="0" fontId="0" fillId="0" borderId="5" xfId="0" applyFill="1" applyBorder="1"/>
    <xf numFmtId="0" fontId="0" fillId="10" borderId="15" xfId="0" applyFill="1" applyBorder="1"/>
    <xf numFmtId="0" fontId="0" fillId="0" borderId="0" xfId="0" applyFill="1" applyBorder="1"/>
    <xf numFmtId="0" fontId="0" fillId="10" borderId="3" xfId="0" applyFill="1" applyBorder="1"/>
    <xf numFmtId="0" fontId="0" fillId="10" borderId="5" xfId="0" applyFill="1" applyBorder="1"/>
    <xf numFmtId="0" fontId="0" fillId="2" borderId="5" xfId="0" applyFont="1" applyFill="1" applyBorder="1" applyAlignment="1">
      <alignment wrapText="1"/>
    </xf>
    <xf numFmtId="0" fontId="0" fillId="0" borderId="5" xfId="0" applyFont="1" applyBorder="1" applyAlignment="1">
      <alignment wrapText="1"/>
    </xf>
    <xf numFmtId="0" fontId="0" fillId="0" borderId="15" xfId="0" applyFill="1" applyBorder="1"/>
    <xf numFmtId="0" fontId="13" fillId="2" borderId="27" xfId="0" applyFont="1" applyFill="1" applyBorder="1" applyAlignment="1">
      <alignment vertical="center" wrapText="1"/>
    </xf>
    <xf numFmtId="0" fontId="0" fillId="2" borderId="47" xfId="0" applyFill="1" applyBorder="1"/>
    <xf numFmtId="0" fontId="0" fillId="2" borderId="2" xfId="0" applyFill="1" applyBorder="1"/>
    <xf numFmtId="0" fontId="0" fillId="2" borderId="46" xfId="0" applyFill="1" applyBorder="1"/>
    <xf numFmtId="0" fontId="0" fillId="0" borderId="5" xfId="0" applyFont="1" applyFill="1" applyBorder="1" applyAlignment="1">
      <alignment wrapText="1"/>
    </xf>
    <xf numFmtId="0" fontId="0" fillId="0" borderId="0" xfId="0" applyFont="1" applyFill="1"/>
    <xf numFmtId="0" fontId="0" fillId="0" borderId="7" xfId="0" applyFont="1" applyFill="1" applyBorder="1"/>
    <xf numFmtId="0" fontId="12" fillId="2" borderId="46" xfId="0" applyFont="1" applyFill="1" applyBorder="1" applyAlignment="1">
      <alignment horizontal="center" vertical="center"/>
    </xf>
    <xf numFmtId="0" fontId="12" fillId="2" borderId="10" xfId="0" applyFont="1" applyFill="1" applyBorder="1" applyAlignment="1">
      <alignment horizontal="center" vertical="center"/>
    </xf>
    <xf numFmtId="0" fontId="13" fillId="2" borderId="48" xfId="0" applyFont="1" applyFill="1" applyBorder="1" applyAlignment="1">
      <alignment horizontal="center" vertical="center"/>
    </xf>
    <xf numFmtId="0" fontId="13" fillId="2" borderId="49" xfId="0" applyFont="1" applyFill="1" applyBorder="1" applyAlignment="1">
      <alignment horizontal="center" vertical="center"/>
    </xf>
    <xf numFmtId="0" fontId="13" fillId="2" borderId="50" xfId="0" applyFont="1" applyFill="1" applyBorder="1" applyAlignment="1">
      <alignment horizontal="center" vertical="center"/>
    </xf>
    <xf numFmtId="0" fontId="13" fillId="2" borderId="51" xfId="0" applyFont="1" applyFill="1" applyBorder="1" applyAlignment="1">
      <alignment horizontal="center" vertical="center"/>
    </xf>
    <xf numFmtId="0" fontId="2" fillId="10" borderId="14" xfId="0" applyFont="1" applyFill="1" applyBorder="1"/>
    <xf numFmtId="0" fontId="2" fillId="10" borderId="15" xfId="0" applyFont="1" applyFill="1" applyBorder="1"/>
  </cellXfs>
  <cellStyles count="1">
    <cellStyle name="Normal" xfId="0" builtinId="0"/>
  </cellStyles>
  <dxfs count="500">
    <dxf>
      <numFmt numFmtId="164" formatCode="0&quot; - (0%) - Très Mauvaise&quot;"/>
    </dxf>
    <dxf>
      <numFmt numFmtId="165" formatCode="0&quot; - (25%) - Mauvaise&quot;"/>
    </dxf>
    <dxf>
      <numFmt numFmtId="166" formatCode="0&quot; - (50%) - Moyenne&quot;"/>
    </dxf>
    <dxf>
      <numFmt numFmtId="167" formatCode="0&quot; - (75%) - Bonne&quot;"/>
    </dxf>
    <dxf>
      <numFmt numFmtId="168" formatCode="0&quot; - (100%) - Excellente&quot;"/>
    </dxf>
    <dxf>
      <numFmt numFmtId="164" formatCode="0&quot; - (0%) - Très Mauvaise&quot;"/>
    </dxf>
    <dxf>
      <numFmt numFmtId="165" formatCode="0&quot; - (25%) - Mauvaise&quot;"/>
    </dxf>
    <dxf>
      <numFmt numFmtId="166" formatCode="0&quot; - (50%) - Moyenne&quot;"/>
    </dxf>
    <dxf>
      <numFmt numFmtId="167" formatCode="0&quot; - (75%) - Bonne&quot;"/>
    </dxf>
    <dxf>
      <numFmt numFmtId="168" formatCode="0&quot; - (100%) - Excellente&quot;"/>
    </dxf>
    <dxf>
      <numFmt numFmtId="164" formatCode="0&quot; - (0%) - Très Mauvaise&quot;"/>
    </dxf>
    <dxf>
      <numFmt numFmtId="165" formatCode="0&quot; - (25%) - Mauvaise&quot;"/>
    </dxf>
    <dxf>
      <numFmt numFmtId="166" formatCode="0&quot; - (50%) - Moyenne&quot;"/>
    </dxf>
    <dxf>
      <numFmt numFmtId="167" formatCode="0&quot; - (75%) - Bonne&quot;"/>
    </dxf>
    <dxf>
      <numFmt numFmtId="168" formatCode="0&quot; - (100%) - Excellente&quot;"/>
    </dxf>
    <dxf>
      <numFmt numFmtId="164" formatCode="0&quot; - (0%) - Très Mauvaise&quot;"/>
    </dxf>
    <dxf>
      <numFmt numFmtId="165" formatCode="0&quot; - (25%) - Mauvaise&quot;"/>
    </dxf>
    <dxf>
      <numFmt numFmtId="166" formatCode="0&quot; - (50%) - Moyenne&quot;"/>
    </dxf>
    <dxf>
      <numFmt numFmtId="167" formatCode="0&quot; - (75%) - Bonne&quot;"/>
    </dxf>
    <dxf>
      <numFmt numFmtId="168" formatCode="0&quot; - (100%) - Excellente&quot;"/>
    </dxf>
    <dxf>
      <numFmt numFmtId="164" formatCode="0&quot; - (0%) - Très Mauvaise&quot;"/>
    </dxf>
    <dxf>
      <numFmt numFmtId="165" formatCode="0&quot; - (25%) - Mauvaise&quot;"/>
    </dxf>
    <dxf>
      <numFmt numFmtId="166" formatCode="0&quot; - (50%) - Moyenne&quot;"/>
    </dxf>
    <dxf>
      <numFmt numFmtId="167" formatCode="0&quot; - (75%) - Bonne&quot;"/>
    </dxf>
    <dxf>
      <numFmt numFmtId="168" formatCode="0&quot; - (100%) - Excellente&quot;"/>
    </dxf>
    <dxf>
      <numFmt numFmtId="164" formatCode="0&quot; - (0%) - Très Mauvaise&quot;"/>
    </dxf>
    <dxf>
      <numFmt numFmtId="165" formatCode="0&quot; - (25%) - Mauvaise&quot;"/>
    </dxf>
    <dxf>
      <numFmt numFmtId="166" formatCode="0&quot; - (50%) - Moyenne&quot;"/>
    </dxf>
    <dxf>
      <numFmt numFmtId="167" formatCode="0&quot; - (75%) - Bonne&quot;"/>
    </dxf>
    <dxf>
      <numFmt numFmtId="168" formatCode="0&quot; - (100%) - Excellente&quot;"/>
    </dxf>
    <dxf>
      <numFmt numFmtId="164" formatCode="0&quot; - (0%) - Très Mauvaise&quot;"/>
    </dxf>
    <dxf>
      <numFmt numFmtId="165" formatCode="0&quot; - (25%) - Mauvaise&quot;"/>
    </dxf>
    <dxf>
      <numFmt numFmtId="166" formatCode="0&quot; - (50%) - Moyenne&quot;"/>
    </dxf>
    <dxf>
      <numFmt numFmtId="167" formatCode="0&quot; - (75%) - Bonne&quot;"/>
    </dxf>
    <dxf>
      <numFmt numFmtId="168" formatCode="0&quot; - (100%) - Excellente&quot;"/>
    </dxf>
    <dxf>
      <numFmt numFmtId="164" formatCode="0&quot; - (0%) - Très Mauvaise&quot;"/>
    </dxf>
    <dxf>
      <numFmt numFmtId="165" formatCode="0&quot; - (25%) - Mauvaise&quot;"/>
    </dxf>
    <dxf>
      <numFmt numFmtId="166" formatCode="0&quot; - (50%) - Moyenne&quot;"/>
    </dxf>
    <dxf>
      <numFmt numFmtId="167" formatCode="0&quot; - (75%) - Bonne&quot;"/>
    </dxf>
    <dxf>
      <numFmt numFmtId="168" formatCode="0&quot; - (100%) - Excellente&quot;"/>
    </dxf>
    <dxf>
      <numFmt numFmtId="164" formatCode="0&quot; - (0%) - Très Mauvaise&quot;"/>
    </dxf>
    <dxf>
      <numFmt numFmtId="165" formatCode="0&quot; - (25%) - Mauvaise&quot;"/>
    </dxf>
    <dxf>
      <numFmt numFmtId="166" formatCode="0&quot; - (50%) - Moyenne&quot;"/>
    </dxf>
    <dxf>
      <numFmt numFmtId="167" formatCode="0&quot; - (75%) - Bonne&quot;"/>
    </dxf>
    <dxf>
      <numFmt numFmtId="168" formatCode="0&quot; - (100%) - Excellente&quot;"/>
    </dxf>
    <dxf>
      <numFmt numFmtId="164" formatCode="0&quot; - (0%) - Très Mauvaise&quot;"/>
    </dxf>
    <dxf>
      <numFmt numFmtId="165" formatCode="0&quot; - (25%) - Mauvaise&quot;"/>
    </dxf>
    <dxf>
      <numFmt numFmtId="166" formatCode="0&quot; - (50%) - Moyenne&quot;"/>
    </dxf>
    <dxf>
      <numFmt numFmtId="167" formatCode="0&quot; - (75%) - Bonne&quot;"/>
    </dxf>
    <dxf>
      <numFmt numFmtId="168" formatCode="0&quot; - (100%) - Excellente&quot;"/>
    </dxf>
    <dxf>
      <numFmt numFmtId="164" formatCode="0&quot; - (0%) - Très Mauvaise&quot;"/>
    </dxf>
    <dxf>
      <numFmt numFmtId="165" formatCode="0&quot; - (25%) - Mauvaise&quot;"/>
    </dxf>
    <dxf>
      <numFmt numFmtId="166" formatCode="0&quot; - (50%) - Moyenne&quot;"/>
    </dxf>
    <dxf>
      <numFmt numFmtId="167" formatCode="0&quot; - (75%) - Bonne&quot;"/>
    </dxf>
    <dxf>
      <numFmt numFmtId="168" formatCode="0&quot; - (100%) - Excellente&quot;"/>
    </dxf>
    <dxf>
      <numFmt numFmtId="164" formatCode="0&quot; - (0%) - Très Mauvaise&quot;"/>
    </dxf>
    <dxf>
      <numFmt numFmtId="165" formatCode="0&quot; - (25%) - Mauvaise&quot;"/>
    </dxf>
    <dxf>
      <numFmt numFmtId="166" formatCode="0&quot; - (50%) - Moyenne&quot;"/>
    </dxf>
    <dxf>
      <numFmt numFmtId="167" formatCode="0&quot; - (75%) - Bonne&quot;"/>
    </dxf>
    <dxf>
      <numFmt numFmtId="168" formatCode="0&quot; - (100%) - Excellente&quot;"/>
    </dxf>
    <dxf>
      <numFmt numFmtId="164" formatCode="0&quot; - (0%) - Très Mauvaise&quot;"/>
    </dxf>
    <dxf>
      <numFmt numFmtId="165" formatCode="0&quot; - (25%) - Mauvaise&quot;"/>
    </dxf>
    <dxf>
      <numFmt numFmtId="166" formatCode="0&quot; - (50%) - Moyenne&quot;"/>
    </dxf>
    <dxf>
      <numFmt numFmtId="167" formatCode="0&quot; - (75%) - Bonne&quot;"/>
    </dxf>
    <dxf>
      <numFmt numFmtId="168" formatCode="0&quot; - (100%) - Excellente&quot;"/>
    </dxf>
    <dxf>
      <numFmt numFmtId="164" formatCode="0&quot; - (0%) - Très Mauvaise&quot;"/>
    </dxf>
    <dxf>
      <numFmt numFmtId="165" formatCode="0&quot; - (25%) - Mauvaise&quot;"/>
    </dxf>
    <dxf>
      <numFmt numFmtId="166" formatCode="0&quot; - (50%) - Moyenne&quot;"/>
    </dxf>
    <dxf>
      <numFmt numFmtId="167" formatCode="0&quot; - (75%) - Bonne&quot;"/>
    </dxf>
    <dxf>
      <numFmt numFmtId="168" formatCode="0&quot; - (100%) - Excellente&quot;"/>
    </dxf>
    <dxf>
      <numFmt numFmtId="164" formatCode="0&quot; - (0%) - Très Mauvaise&quot;"/>
    </dxf>
    <dxf>
      <numFmt numFmtId="165" formatCode="0&quot; - (25%) - Mauvaise&quot;"/>
    </dxf>
    <dxf>
      <numFmt numFmtId="166" formatCode="0&quot; - (50%) - Moyenne&quot;"/>
    </dxf>
    <dxf>
      <numFmt numFmtId="167" formatCode="0&quot; - (75%) - Bonne&quot;"/>
    </dxf>
    <dxf>
      <numFmt numFmtId="168" formatCode="0&quot; - (100%) - Excellente&quot;"/>
    </dxf>
    <dxf>
      <numFmt numFmtId="164" formatCode="0&quot; - (0%) - Très Mauvaise&quot;"/>
    </dxf>
    <dxf>
      <numFmt numFmtId="165" formatCode="0&quot; - (25%) - Mauvaise&quot;"/>
    </dxf>
    <dxf>
      <numFmt numFmtId="166" formatCode="0&quot; - (50%) - Moyenne&quot;"/>
    </dxf>
    <dxf>
      <numFmt numFmtId="167" formatCode="0&quot; - (75%) - Bonne&quot;"/>
    </dxf>
    <dxf>
      <numFmt numFmtId="168" formatCode="0&quot; - (100%) - Excellente&quot;"/>
    </dxf>
    <dxf>
      <numFmt numFmtId="164" formatCode="0&quot; - (0%) - Très Mauvaise&quot;"/>
    </dxf>
    <dxf>
      <numFmt numFmtId="165" formatCode="0&quot; - (25%) - Mauvaise&quot;"/>
    </dxf>
    <dxf>
      <numFmt numFmtId="166" formatCode="0&quot; - (50%) - Moyenne&quot;"/>
    </dxf>
    <dxf>
      <numFmt numFmtId="167" formatCode="0&quot; - (75%) - Bonne&quot;"/>
    </dxf>
    <dxf>
      <numFmt numFmtId="168" formatCode="0&quot; - (100%) - Excellente&quot;"/>
    </dxf>
    <dxf>
      <numFmt numFmtId="164" formatCode="0&quot; - (0%) - Très Mauvaise&quot;"/>
    </dxf>
    <dxf>
      <numFmt numFmtId="165" formatCode="0&quot; - (25%) - Mauvaise&quot;"/>
    </dxf>
    <dxf>
      <numFmt numFmtId="166" formatCode="0&quot; - (50%) - Moyenne&quot;"/>
    </dxf>
    <dxf>
      <numFmt numFmtId="167" formatCode="0&quot; - (75%) - Bonne&quot;"/>
    </dxf>
    <dxf>
      <numFmt numFmtId="168" formatCode="0&quot; - (100%) - Excellente&quot;"/>
    </dxf>
    <dxf>
      <numFmt numFmtId="164" formatCode="0&quot; - (0%) - Très Mauvaise&quot;"/>
    </dxf>
    <dxf>
      <numFmt numFmtId="165" formatCode="0&quot; - (25%) - Mauvaise&quot;"/>
    </dxf>
    <dxf>
      <numFmt numFmtId="166" formatCode="0&quot; - (50%) - Moyenne&quot;"/>
    </dxf>
    <dxf>
      <numFmt numFmtId="167" formatCode="0&quot; - (75%) - Bonne&quot;"/>
    </dxf>
    <dxf>
      <numFmt numFmtId="168" formatCode="0&quot; - (100%) - Excellente&quot;"/>
    </dxf>
    <dxf>
      <numFmt numFmtId="164" formatCode="0&quot; - (0%) - Très Mauvaise&quot;"/>
    </dxf>
    <dxf>
      <numFmt numFmtId="165" formatCode="0&quot; - (25%) - Mauvaise&quot;"/>
    </dxf>
    <dxf>
      <numFmt numFmtId="166" formatCode="0&quot; - (50%) - Moyenne&quot;"/>
    </dxf>
    <dxf>
      <numFmt numFmtId="167" formatCode="0&quot; - (75%) - Bonne&quot;"/>
    </dxf>
    <dxf>
      <numFmt numFmtId="168" formatCode="0&quot; - (100%) - Excellente&quot;"/>
    </dxf>
    <dxf>
      <numFmt numFmtId="164" formatCode="0&quot; - (0%) - Très Mauvaise&quot;"/>
    </dxf>
    <dxf>
      <numFmt numFmtId="165" formatCode="0&quot; - (25%) - Mauvaise&quot;"/>
    </dxf>
    <dxf>
      <numFmt numFmtId="166" formatCode="0&quot; - (50%) - Moyenne&quot;"/>
    </dxf>
    <dxf>
      <numFmt numFmtId="167" formatCode="0&quot; - (75%) - Bonne&quot;"/>
    </dxf>
    <dxf>
      <numFmt numFmtId="168" formatCode="0&quot; - (100%) - Excellente&quot;"/>
    </dxf>
    <dxf>
      <numFmt numFmtId="164" formatCode="0&quot; - (0%) - Très Mauvaise&quot;"/>
    </dxf>
    <dxf>
      <numFmt numFmtId="165" formatCode="0&quot; - (25%) - Mauvaise&quot;"/>
    </dxf>
    <dxf>
      <numFmt numFmtId="166" formatCode="0&quot; - (50%) - Moyenne&quot;"/>
    </dxf>
    <dxf>
      <numFmt numFmtId="167" formatCode="0&quot; - (75%) - Bonne&quot;"/>
    </dxf>
    <dxf>
      <numFmt numFmtId="168" formatCode="0&quot; - (100%) - Excellente&quot;"/>
    </dxf>
    <dxf>
      <numFmt numFmtId="164" formatCode="0&quot; - (0%) - Très Mauvaise&quot;"/>
    </dxf>
    <dxf>
      <numFmt numFmtId="165" formatCode="0&quot; - (25%) - Mauvaise&quot;"/>
    </dxf>
    <dxf>
      <numFmt numFmtId="166" formatCode="0&quot; - (50%) - Moyenne&quot;"/>
    </dxf>
    <dxf>
      <numFmt numFmtId="167" formatCode="0&quot; - (75%) - Bonne&quot;"/>
    </dxf>
    <dxf>
      <numFmt numFmtId="168" formatCode="0&quot; - (100%) - Excellente&quot;"/>
    </dxf>
    <dxf>
      <numFmt numFmtId="164" formatCode="0&quot; - (0%) - Très Mauvaise&quot;"/>
    </dxf>
    <dxf>
      <numFmt numFmtId="165" formatCode="0&quot; - (25%) - Mauvaise&quot;"/>
    </dxf>
    <dxf>
      <numFmt numFmtId="166" formatCode="0&quot; - (50%) - Moyenne&quot;"/>
    </dxf>
    <dxf>
      <numFmt numFmtId="167" formatCode="0&quot; - (75%) - Bonne&quot;"/>
    </dxf>
    <dxf>
      <numFmt numFmtId="168" formatCode="0&quot; - (100%) - Excellente&quot;"/>
    </dxf>
    <dxf>
      <numFmt numFmtId="164" formatCode="0&quot; - (0%) - Très Mauvaise&quot;"/>
    </dxf>
    <dxf>
      <numFmt numFmtId="165" formatCode="0&quot; - (25%) - Mauvaise&quot;"/>
    </dxf>
    <dxf>
      <numFmt numFmtId="166" formatCode="0&quot; - (50%) - Moyenne&quot;"/>
    </dxf>
    <dxf>
      <numFmt numFmtId="167" formatCode="0&quot; - (75%) - Bonne&quot;"/>
    </dxf>
    <dxf>
      <numFmt numFmtId="168" formatCode="0&quot; - (100%) - Excellente&quot;"/>
    </dxf>
    <dxf>
      <numFmt numFmtId="164" formatCode="0&quot; - (0%) - Très Mauvaise&quot;"/>
    </dxf>
    <dxf>
      <numFmt numFmtId="165" formatCode="0&quot; - (25%) - Mauvaise&quot;"/>
    </dxf>
    <dxf>
      <numFmt numFmtId="166" formatCode="0&quot; - (50%) - Moyenne&quot;"/>
    </dxf>
    <dxf>
      <numFmt numFmtId="167" formatCode="0&quot; - (75%) - Bonne&quot;"/>
    </dxf>
    <dxf>
      <numFmt numFmtId="168" formatCode="0&quot; - (100%) - Excellente&quot;"/>
    </dxf>
    <dxf>
      <numFmt numFmtId="164" formatCode="0&quot; - (0%) - Très Mauvaise&quot;"/>
    </dxf>
    <dxf>
      <numFmt numFmtId="165" formatCode="0&quot; - (25%) - Mauvaise&quot;"/>
    </dxf>
    <dxf>
      <numFmt numFmtId="166" formatCode="0&quot; - (50%) - Moyenne&quot;"/>
    </dxf>
    <dxf>
      <numFmt numFmtId="167" formatCode="0&quot; - (75%) - Bonne&quot;"/>
    </dxf>
    <dxf>
      <numFmt numFmtId="168" formatCode="0&quot; - (100%) - Excellente&quot;"/>
    </dxf>
    <dxf>
      <numFmt numFmtId="164" formatCode="0&quot; - (0%) - Très Mauvaise&quot;"/>
    </dxf>
    <dxf>
      <numFmt numFmtId="165" formatCode="0&quot; - (25%) - Mauvaise&quot;"/>
    </dxf>
    <dxf>
      <numFmt numFmtId="166" formatCode="0&quot; - (50%) - Moyenne&quot;"/>
    </dxf>
    <dxf>
      <numFmt numFmtId="167" formatCode="0&quot; - (75%) - Bonne&quot;"/>
    </dxf>
    <dxf>
      <numFmt numFmtId="168" formatCode="0&quot; - (100%) - Excellente&quot;"/>
    </dxf>
    <dxf>
      <numFmt numFmtId="164" formatCode="0&quot; - (0%) - Très Mauvaise&quot;"/>
    </dxf>
    <dxf>
      <numFmt numFmtId="165" formatCode="0&quot; - (25%) - Mauvaise&quot;"/>
    </dxf>
    <dxf>
      <numFmt numFmtId="166" formatCode="0&quot; - (50%) - Moyenne&quot;"/>
    </dxf>
    <dxf>
      <numFmt numFmtId="167" formatCode="0&quot; - (75%) - Bonne&quot;"/>
    </dxf>
    <dxf>
      <numFmt numFmtId="168" formatCode="0&quot; - (100%) - Excellente&quot;"/>
    </dxf>
    <dxf>
      <numFmt numFmtId="164" formatCode="0&quot; - (0%) - Très Mauvaise&quot;"/>
    </dxf>
    <dxf>
      <numFmt numFmtId="165" formatCode="0&quot; - (25%) - Mauvaise&quot;"/>
    </dxf>
    <dxf>
      <numFmt numFmtId="166" formatCode="0&quot; - (50%) - Moyenne&quot;"/>
    </dxf>
    <dxf>
      <numFmt numFmtId="167" formatCode="0&quot; - (75%) - Bonne&quot;"/>
    </dxf>
    <dxf>
      <numFmt numFmtId="168" formatCode="0&quot; - (100%) - Excellente&quot;"/>
    </dxf>
    <dxf>
      <numFmt numFmtId="164" formatCode="0&quot; - (0%) - Très Mauvaise&quot;"/>
    </dxf>
    <dxf>
      <numFmt numFmtId="165" formatCode="0&quot; - (25%) - Mauvaise&quot;"/>
    </dxf>
    <dxf>
      <numFmt numFmtId="166" formatCode="0&quot; - (50%) - Moyenne&quot;"/>
    </dxf>
    <dxf>
      <numFmt numFmtId="167" formatCode="0&quot; - (75%) - Bonne&quot;"/>
    </dxf>
    <dxf>
      <numFmt numFmtId="168" formatCode="0&quot; - (100%) - Excellente&quot;"/>
    </dxf>
    <dxf>
      <numFmt numFmtId="164" formatCode="0&quot; - (0%) - Très Mauvaise&quot;"/>
    </dxf>
    <dxf>
      <numFmt numFmtId="165" formatCode="0&quot; - (25%) - Mauvaise&quot;"/>
    </dxf>
    <dxf>
      <numFmt numFmtId="166" formatCode="0&quot; - (50%) - Moyenne&quot;"/>
    </dxf>
    <dxf>
      <numFmt numFmtId="167" formatCode="0&quot; - (75%) - Bonne&quot;"/>
    </dxf>
    <dxf>
      <numFmt numFmtId="168" formatCode="0&quot; - (100%) - Excellente&quot;"/>
    </dxf>
    <dxf>
      <numFmt numFmtId="164" formatCode="0&quot; - (0%) - Très Mauvaise&quot;"/>
    </dxf>
    <dxf>
      <numFmt numFmtId="165" formatCode="0&quot; - (25%) - Mauvaise&quot;"/>
    </dxf>
    <dxf>
      <numFmt numFmtId="166" formatCode="0&quot; - (50%) - Moyenne&quot;"/>
    </dxf>
    <dxf>
      <numFmt numFmtId="167" formatCode="0&quot; - (75%) - Bonne&quot;"/>
    </dxf>
    <dxf>
      <numFmt numFmtId="168" formatCode="0&quot; - (100%) - Excellente&quot;"/>
    </dxf>
    <dxf>
      <numFmt numFmtId="164" formatCode="0&quot; - (0%) - Très Mauvaise&quot;"/>
    </dxf>
    <dxf>
      <numFmt numFmtId="165" formatCode="0&quot; - (25%) - Mauvaise&quot;"/>
    </dxf>
    <dxf>
      <numFmt numFmtId="166" formatCode="0&quot; - (50%) - Moyenne&quot;"/>
    </dxf>
    <dxf>
      <numFmt numFmtId="167" formatCode="0&quot; - (75%) - Bonne&quot;"/>
    </dxf>
    <dxf>
      <numFmt numFmtId="168" formatCode="0&quot; - (100%) - Excellente&quot;"/>
    </dxf>
    <dxf>
      <numFmt numFmtId="164" formatCode="0&quot; - (0%) - Très Mauvaise&quot;"/>
    </dxf>
    <dxf>
      <numFmt numFmtId="165" formatCode="0&quot; - (25%) - Mauvaise&quot;"/>
    </dxf>
    <dxf>
      <numFmt numFmtId="166" formatCode="0&quot; - (50%) - Moyenne&quot;"/>
    </dxf>
    <dxf>
      <numFmt numFmtId="167" formatCode="0&quot; - (75%) - Bonne&quot;"/>
    </dxf>
    <dxf>
      <numFmt numFmtId="168" formatCode="0&quot; - (100%) - Excellente&quot;"/>
    </dxf>
    <dxf>
      <numFmt numFmtId="164" formatCode="0&quot; - (0%) - Très Mauvaise&quot;"/>
    </dxf>
    <dxf>
      <numFmt numFmtId="165" formatCode="0&quot; - (25%) - Mauvaise&quot;"/>
    </dxf>
    <dxf>
      <numFmt numFmtId="166" formatCode="0&quot; - (50%) - Moyenne&quot;"/>
    </dxf>
    <dxf>
      <numFmt numFmtId="167" formatCode="0&quot; - (75%) - Bonne&quot;"/>
    </dxf>
    <dxf>
      <numFmt numFmtId="168" formatCode="0&quot; - (100%) - Excellente&quot;"/>
    </dxf>
    <dxf>
      <numFmt numFmtId="164" formatCode="0&quot; - (0%) - Très Mauvaise&quot;"/>
    </dxf>
    <dxf>
      <numFmt numFmtId="165" formatCode="0&quot; - (25%) - Mauvaise&quot;"/>
    </dxf>
    <dxf>
      <numFmt numFmtId="166" formatCode="0&quot; - (50%) - Moyenne&quot;"/>
    </dxf>
    <dxf>
      <numFmt numFmtId="167" formatCode="0&quot; - (75%) - Bonne&quot;"/>
    </dxf>
    <dxf>
      <numFmt numFmtId="168" formatCode="0&quot; - (100%) - Excellente&quot;"/>
    </dxf>
    <dxf>
      <numFmt numFmtId="164" formatCode="0&quot; - (0%) - Très Mauvaise&quot;"/>
    </dxf>
    <dxf>
      <numFmt numFmtId="165" formatCode="0&quot; - (25%) - Mauvaise&quot;"/>
    </dxf>
    <dxf>
      <numFmt numFmtId="166" formatCode="0&quot; - (50%) - Moyenne&quot;"/>
    </dxf>
    <dxf>
      <numFmt numFmtId="167" formatCode="0&quot; - (75%) - Bonne&quot;"/>
    </dxf>
    <dxf>
      <numFmt numFmtId="168" formatCode="0&quot; - (100%) - Excellente&quot;"/>
    </dxf>
    <dxf>
      <numFmt numFmtId="164" formatCode="0&quot; - (0%) - Très Mauvaise&quot;"/>
    </dxf>
    <dxf>
      <numFmt numFmtId="165" formatCode="0&quot; - (25%) - Mauvaise&quot;"/>
    </dxf>
    <dxf>
      <numFmt numFmtId="166" formatCode="0&quot; - (50%) - Moyenne&quot;"/>
    </dxf>
    <dxf>
      <numFmt numFmtId="167" formatCode="0&quot; - (75%) - Bonne&quot;"/>
    </dxf>
    <dxf>
      <numFmt numFmtId="168" formatCode="0&quot; - (100%) - Excellente&quot;"/>
    </dxf>
    <dxf>
      <numFmt numFmtId="164" formatCode="0&quot; - (0%) - Très Mauvaise&quot;"/>
    </dxf>
    <dxf>
      <numFmt numFmtId="165" formatCode="0&quot; - (25%) - Mauvaise&quot;"/>
    </dxf>
    <dxf>
      <numFmt numFmtId="166" formatCode="0&quot; - (50%) - Moyenne&quot;"/>
    </dxf>
    <dxf>
      <numFmt numFmtId="167" formatCode="0&quot; - (75%) - Bonne&quot;"/>
    </dxf>
    <dxf>
      <numFmt numFmtId="168" formatCode="0&quot; - (100%) - Excellente&quot;"/>
    </dxf>
    <dxf>
      <numFmt numFmtId="164" formatCode="0&quot; - (0%) - Très Mauvaise&quot;"/>
    </dxf>
    <dxf>
      <numFmt numFmtId="165" formatCode="0&quot; - (25%) - Mauvaise&quot;"/>
    </dxf>
    <dxf>
      <numFmt numFmtId="166" formatCode="0&quot; - (50%) - Moyenne&quot;"/>
    </dxf>
    <dxf>
      <numFmt numFmtId="167" formatCode="0&quot; - (75%) - Bonne&quot;"/>
    </dxf>
    <dxf>
      <numFmt numFmtId="168" formatCode="0&quot; - (100%) - Excellente&quot;"/>
    </dxf>
    <dxf>
      <numFmt numFmtId="164" formatCode="0&quot; - (0%) - Très Mauvaise&quot;"/>
    </dxf>
    <dxf>
      <numFmt numFmtId="165" formatCode="0&quot; - (25%) - Mauvaise&quot;"/>
    </dxf>
    <dxf>
      <numFmt numFmtId="166" formatCode="0&quot; - (50%) - Moyenne&quot;"/>
    </dxf>
    <dxf>
      <numFmt numFmtId="167" formatCode="0&quot; - (75%) - Bonne&quot;"/>
    </dxf>
    <dxf>
      <numFmt numFmtId="168" formatCode="0&quot; - (100%) - Excellente&quot;"/>
    </dxf>
    <dxf>
      <numFmt numFmtId="164" formatCode="0&quot; - (0%) - Très Mauvaise&quot;"/>
    </dxf>
    <dxf>
      <numFmt numFmtId="165" formatCode="0&quot; - (25%) - Mauvaise&quot;"/>
    </dxf>
    <dxf>
      <numFmt numFmtId="166" formatCode="0&quot; - (50%) - Moyenne&quot;"/>
    </dxf>
    <dxf>
      <numFmt numFmtId="167" formatCode="0&quot; - (75%) - Bonne&quot;"/>
    </dxf>
    <dxf>
      <numFmt numFmtId="168" formatCode="0&quot; - (100%) - Excellente&quot;"/>
    </dxf>
    <dxf>
      <numFmt numFmtId="164" formatCode="0&quot; - (0%) - Très Mauvaise&quot;"/>
    </dxf>
    <dxf>
      <numFmt numFmtId="165" formatCode="0&quot; - (25%) - Mauvaise&quot;"/>
    </dxf>
    <dxf>
      <numFmt numFmtId="166" formatCode="0&quot; - (50%) - Moyenne&quot;"/>
    </dxf>
    <dxf>
      <numFmt numFmtId="167" formatCode="0&quot; - (75%) - Bonne&quot;"/>
    </dxf>
    <dxf>
      <numFmt numFmtId="168" formatCode="0&quot; - (100%) - Excellente&quot;"/>
    </dxf>
    <dxf>
      <numFmt numFmtId="164" formatCode="0&quot; - (0%) - Très Mauvaise&quot;"/>
    </dxf>
    <dxf>
      <numFmt numFmtId="165" formatCode="0&quot; - (25%) - Mauvaise&quot;"/>
    </dxf>
    <dxf>
      <numFmt numFmtId="166" formatCode="0&quot; - (50%) - Moyenne&quot;"/>
    </dxf>
    <dxf>
      <numFmt numFmtId="167" formatCode="0&quot; - (75%) - Bonne&quot;"/>
    </dxf>
    <dxf>
      <numFmt numFmtId="168" formatCode="0&quot; - (100%) - Excellente&quot;"/>
    </dxf>
    <dxf>
      <numFmt numFmtId="164" formatCode="0&quot; - (0%) - Très Mauvaise&quot;"/>
    </dxf>
    <dxf>
      <numFmt numFmtId="165" formatCode="0&quot; - (25%) - Mauvaise&quot;"/>
    </dxf>
    <dxf>
      <numFmt numFmtId="166" formatCode="0&quot; - (50%) - Moyenne&quot;"/>
    </dxf>
    <dxf>
      <numFmt numFmtId="167" formatCode="0&quot; - (75%) - Bonne&quot;"/>
    </dxf>
    <dxf>
      <numFmt numFmtId="168" formatCode="0&quot; - (100%) - Excellente&quot;"/>
    </dxf>
    <dxf>
      <numFmt numFmtId="164" formatCode="0&quot; - (0%) - Très Mauvaise&quot;"/>
    </dxf>
    <dxf>
      <numFmt numFmtId="165" formatCode="0&quot; - (25%) - Mauvaise&quot;"/>
    </dxf>
    <dxf>
      <numFmt numFmtId="166" formatCode="0&quot; - (50%) - Moyenne&quot;"/>
    </dxf>
    <dxf>
      <numFmt numFmtId="167" formatCode="0&quot; - (75%) - Bonne&quot;"/>
    </dxf>
    <dxf>
      <numFmt numFmtId="168" formatCode="0&quot; - (100%) - Excellente&quot;"/>
    </dxf>
    <dxf>
      <numFmt numFmtId="164" formatCode="0&quot; - (0%) - Très Mauvaise&quot;"/>
    </dxf>
    <dxf>
      <numFmt numFmtId="165" formatCode="0&quot; - (25%) - Mauvaise&quot;"/>
    </dxf>
    <dxf>
      <numFmt numFmtId="166" formatCode="0&quot; - (50%) - Moyenne&quot;"/>
    </dxf>
    <dxf>
      <numFmt numFmtId="167" formatCode="0&quot; - (75%) - Bonne&quot;"/>
    </dxf>
    <dxf>
      <numFmt numFmtId="168" formatCode="0&quot; - (100%) - Excellente&quot;"/>
    </dxf>
    <dxf>
      <numFmt numFmtId="164" formatCode="0&quot; - (0%) - Très Mauvaise&quot;"/>
    </dxf>
    <dxf>
      <numFmt numFmtId="165" formatCode="0&quot; - (25%) - Mauvaise&quot;"/>
    </dxf>
    <dxf>
      <numFmt numFmtId="166" formatCode="0&quot; - (50%) - Moyenne&quot;"/>
    </dxf>
    <dxf>
      <numFmt numFmtId="167" formatCode="0&quot; - (75%) - Bonne&quot;"/>
    </dxf>
    <dxf>
      <numFmt numFmtId="168" formatCode="0&quot; - (100%) - Excellente&quot;"/>
    </dxf>
    <dxf>
      <numFmt numFmtId="164" formatCode="0&quot; - (0%) - Très Mauvaise&quot;"/>
    </dxf>
    <dxf>
      <numFmt numFmtId="165" formatCode="0&quot; - (25%) - Mauvaise&quot;"/>
    </dxf>
    <dxf>
      <numFmt numFmtId="166" formatCode="0&quot; - (50%) - Moyenne&quot;"/>
    </dxf>
    <dxf>
      <numFmt numFmtId="167" formatCode="0&quot; - (75%) - Bonne&quot;"/>
    </dxf>
    <dxf>
      <numFmt numFmtId="168" formatCode="0&quot; - (100%) - Excellente&quot;"/>
    </dxf>
    <dxf>
      <numFmt numFmtId="164" formatCode="0&quot; - (0%) - Très Mauvaise&quot;"/>
    </dxf>
    <dxf>
      <numFmt numFmtId="165" formatCode="0&quot; - (25%) - Mauvaise&quot;"/>
    </dxf>
    <dxf>
      <numFmt numFmtId="166" formatCode="0&quot; - (50%) - Moyenne&quot;"/>
    </dxf>
    <dxf>
      <numFmt numFmtId="167" formatCode="0&quot; - (75%) - Bonne&quot;"/>
    </dxf>
    <dxf>
      <numFmt numFmtId="168" formatCode="0&quot; - (100%) - Excellente&quot;"/>
    </dxf>
    <dxf>
      <numFmt numFmtId="164" formatCode="0&quot; - (0%) - Très Mauvaise&quot;"/>
    </dxf>
    <dxf>
      <numFmt numFmtId="165" formatCode="0&quot; - (25%) - Mauvaise&quot;"/>
    </dxf>
    <dxf>
      <numFmt numFmtId="166" formatCode="0&quot; - (50%) - Moyenne&quot;"/>
    </dxf>
    <dxf>
      <numFmt numFmtId="167" formatCode="0&quot; - (75%) - Bonne&quot;"/>
    </dxf>
    <dxf>
      <numFmt numFmtId="168" formatCode="0&quot; - (100%) - Excellente&quot;"/>
    </dxf>
    <dxf>
      <numFmt numFmtId="164" formatCode="0&quot; - (0%) - Très Mauvaise&quot;"/>
    </dxf>
    <dxf>
      <numFmt numFmtId="165" formatCode="0&quot; - (25%) - Mauvaise&quot;"/>
    </dxf>
    <dxf>
      <numFmt numFmtId="166" formatCode="0&quot; - (50%) - Moyenne&quot;"/>
    </dxf>
    <dxf>
      <numFmt numFmtId="167" formatCode="0&quot; - (75%) - Bonne&quot;"/>
    </dxf>
    <dxf>
      <numFmt numFmtId="168" formatCode="0&quot; - (100%) - Excellente&quot;"/>
    </dxf>
    <dxf>
      <numFmt numFmtId="164" formatCode="0&quot; - (0%) - Très Mauvaise&quot;"/>
    </dxf>
    <dxf>
      <numFmt numFmtId="165" formatCode="0&quot; - (25%) - Mauvaise&quot;"/>
    </dxf>
    <dxf>
      <numFmt numFmtId="166" formatCode="0&quot; - (50%) - Moyenne&quot;"/>
    </dxf>
    <dxf>
      <numFmt numFmtId="167" formatCode="0&quot; - (75%) - Bonne&quot;"/>
    </dxf>
    <dxf>
      <numFmt numFmtId="168" formatCode="0&quot; - (100%) - Excellente&quot;"/>
    </dxf>
    <dxf>
      <numFmt numFmtId="164" formatCode="0&quot; - (0%) - Très Mauvaise&quot;"/>
    </dxf>
    <dxf>
      <numFmt numFmtId="165" formatCode="0&quot; - (25%) - Mauvaise&quot;"/>
    </dxf>
    <dxf>
      <numFmt numFmtId="166" formatCode="0&quot; - (50%) - Moyenne&quot;"/>
    </dxf>
    <dxf>
      <numFmt numFmtId="167" formatCode="0&quot; - (75%) - Bonne&quot;"/>
    </dxf>
    <dxf>
      <numFmt numFmtId="168" formatCode="0&quot; - (100%) - Excellente&quot;"/>
    </dxf>
    <dxf>
      <numFmt numFmtId="164" formatCode="0&quot; - (0%) - Très Mauvaise&quot;"/>
    </dxf>
    <dxf>
      <numFmt numFmtId="165" formatCode="0&quot; - (25%) - Mauvaise&quot;"/>
    </dxf>
    <dxf>
      <numFmt numFmtId="166" formatCode="0&quot; - (50%) - Moyenne&quot;"/>
    </dxf>
    <dxf>
      <numFmt numFmtId="167" formatCode="0&quot; - (75%) - Bonne&quot;"/>
    </dxf>
    <dxf>
      <numFmt numFmtId="168" formatCode="0&quot; - (100%) - Excellente&quot;"/>
    </dxf>
    <dxf>
      <numFmt numFmtId="164" formatCode="0&quot; - (0%) - Très Mauvaise&quot;"/>
    </dxf>
    <dxf>
      <numFmt numFmtId="165" formatCode="0&quot; - (25%) - Mauvaise&quot;"/>
    </dxf>
    <dxf>
      <numFmt numFmtId="166" formatCode="0&quot; - (50%) - Moyenne&quot;"/>
    </dxf>
    <dxf>
      <numFmt numFmtId="167" formatCode="0&quot; - (75%) - Bonne&quot;"/>
    </dxf>
    <dxf>
      <numFmt numFmtId="168" formatCode="0&quot; - (100%) - Excellente&quot;"/>
    </dxf>
    <dxf>
      <numFmt numFmtId="164" formatCode="0&quot; - (0%) - Très Mauvaise&quot;"/>
    </dxf>
    <dxf>
      <numFmt numFmtId="165" formatCode="0&quot; - (25%) - Mauvaise&quot;"/>
    </dxf>
    <dxf>
      <numFmt numFmtId="166" formatCode="0&quot; - (50%) - Moyenne&quot;"/>
    </dxf>
    <dxf>
      <numFmt numFmtId="167" formatCode="0&quot; - (75%) - Bonne&quot;"/>
    </dxf>
    <dxf>
      <numFmt numFmtId="168" formatCode="0&quot; - (100%) - Excellente&quot;"/>
    </dxf>
    <dxf>
      <numFmt numFmtId="164" formatCode="0&quot; - (0%) - Très Mauvaise&quot;"/>
    </dxf>
    <dxf>
      <numFmt numFmtId="165" formatCode="0&quot; - (25%) - Mauvaise&quot;"/>
    </dxf>
    <dxf>
      <numFmt numFmtId="166" formatCode="0&quot; - (50%) - Moyenne&quot;"/>
    </dxf>
    <dxf>
      <numFmt numFmtId="167" formatCode="0&quot; - (75%) - Bonne&quot;"/>
    </dxf>
    <dxf>
      <numFmt numFmtId="168" formatCode="0&quot; - (100%) - Excellente&quot;"/>
    </dxf>
    <dxf>
      <numFmt numFmtId="164" formatCode="0&quot; - (0%) - Très Mauvaise&quot;"/>
    </dxf>
    <dxf>
      <numFmt numFmtId="165" formatCode="0&quot; - (25%) - Mauvaise&quot;"/>
    </dxf>
    <dxf>
      <numFmt numFmtId="166" formatCode="0&quot; - (50%) - Moyenne&quot;"/>
    </dxf>
    <dxf>
      <numFmt numFmtId="167" formatCode="0&quot; - (75%) - Bonne&quot;"/>
    </dxf>
    <dxf>
      <numFmt numFmtId="168" formatCode="0&quot; - (100%) - Excellente&quot;"/>
    </dxf>
    <dxf>
      <numFmt numFmtId="164" formatCode="0&quot; - (0%) - Très Mauvaise&quot;"/>
    </dxf>
    <dxf>
      <numFmt numFmtId="165" formatCode="0&quot; - (25%) - Mauvaise&quot;"/>
    </dxf>
    <dxf>
      <numFmt numFmtId="166" formatCode="0&quot; - (50%) - Moyenne&quot;"/>
    </dxf>
    <dxf>
      <numFmt numFmtId="167" formatCode="0&quot; - (75%) - Bonne&quot;"/>
    </dxf>
    <dxf>
      <numFmt numFmtId="168" formatCode="0&quot; - (100%) - Excellente&quot;"/>
    </dxf>
    <dxf>
      <numFmt numFmtId="164" formatCode="0&quot; - (0%) - Très Mauvaise&quot;"/>
    </dxf>
    <dxf>
      <numFmt numFmtId="165" formatCode="0&quot; - (25%) - Mauvaise&quot;"/>
    </dxf>
    <dxf>
      <numFmt numFmtId="166" formatCode="0&quot; - (50%) - Moyenne&quot;"/>
    </dxf>
    <dxf>
      <numFmt numFmtId="167" formatCode="0&quot; - (75%) - Bonne&quot;"/>
    </dxf>
    <dxf>
      <numFmt numFmtId="168" formatCode="0&quot; - (100%) - Excellente&quot;"/>
    </dxf>
    <dxf>
      <numFmt numFmtId="164" formatCode="0&quot; - (0%) - Très Mauvaise&quot;"/>
    </dxf>
    <dxf>
      <numFmt numFmtId="165" formatCode="0&quot; - (25%) - Mauvaise&quot;"/>
    </dxf>
    <dxf>
      <numFmt numFmtId="166" formatCode="0&quot; - (50%) - Moyenne&quot;"/>
    </dxf>
    <dxf>
      <numFmt numFmtId="167" formatCode="0&quot; - (75%) - Bonne&quot;"/>
    </dxf>
    <dxf>
      <numFmt numFmtId="168" formatCode="0&quot; - (100%) - Excellente&quot;"/>
    </dxf>
    <dxf>
      <numFmt numFmtId="164" formatCode="0&quot; - (0%) - Très Mauvaise&quot;"/>
    </dxf>
    <dxf>
      <numFmt numFmtId="165" formatCode="0&quot; - (25%) - Mauvaise&quot;"/>
    </dxf>
    <dxf>
      <numFmt numFmtId="166" formatCode="0&quot; - (50%) - Moyenne&quot;"/>
    </dxf>
    <dxf>
      <numFmt numFmtId="167" formatCode="0&quot; - (75%) - Bonne&quot;"/>
    </dxf>
    <dxf>
      <numFmt numFmtId="168" formatCode="0&quot; - (100%) - Excellente&quot;"/>
    </dxf>
    <dxf>
      <numFmt numFmtId="164" formatCode="0&quot; - (0%) - Très Mauvaise&quot;"/>
    </dxf>
    <dxf>
      <numFmt numFmtId="165" formatCode="0&quot; - (25%) - Mauvaise&quot;"/>
    </dxf>
    <dxf>
      <numFmt numFmtId="166" formatCode="0&quot; - (50%) - Moyenne&quot;"/>
    </dxf>
    <dxf>
      <numFmt numFmtId="167" formatCode="0&quot; - (75%) - Bonne&quot;"/>
    </dxf>
    <dxf>
      <numFmt numFmtId="168" formatCode="0&quot; - (100%) - Excellente&quot;"/>
    </dxf>
    <dxf>
      <numFmt numFmtId="164" formatCode="0&quot; - (0%) - Très Mauvaise&quot;"/>
    </dxf>
    <dxf>
      <numFmt numFmtId="165" formatCode="0&quot; - (25%) - Mauvaise&quot;"/>
    </dxf>
    <dxf>
      <numFmt numFmtId="166" formatCode="0&quot; - (50%) - Moyenne&quot;"/>
    </dxf>
    <dxf>
      <numFmt numFmtId="167" formatCode="0&quot; - (75%) - Bonne&quot;"/>
    </dxf>
    <dxf>
      <numFmt numFmtId="168" formatCode="0&quot; - (100%) - Excellente&quot;"/>
    </dxf>
    <dxf>
      <numFmt numFmtId="164" formatCode="0&quot; - (0%) - Très Mauvaise&quot;"/>
    </dxf>
    <dxf>
      <numFmt numFmtId="165" formatCode="0&quot; - (25%) - Mauvaise&quot;"/>
    </dxf>
    <dxf>
      <numFmt numFmtId="166" formatCode="0&quot; - (50%) - Moyenne&quot;"/>
    </dxf>
    <dxf>
      <numFmt numFmtId="167" formatCode="0&quot; - (75%) - Bonne&quot;"/>
    </dxf>
    <dxf>
      <numFmt numFmtId="168" formatCode="0&quot; - (100%) - Excellente&quot;"/>
    </dxf>
    <dxf>
      <numFmt numFmtId="164" formatCode="0&quot; - (0%) - Très Mauvaise&quot;"/>
    </dxf>
    <dxf>
      <numFmt numFmtId="165" formatCode="0&quot; - (25%) - Mauvaise&quot;"/>
    </dxf>
    <dxf>
      <numFmt numFmtId="166" formatCode="0&quot; - (50%) - Moyenne&quot;"/>
    </dxf>
    <dxf>
      <numFmt numFmtId="167" formatCode="0&quot; - (75%) - Bonne&quot;"/>
    </dxf>
    <dxf>
      <numFmt numFmtId="168" formatCode="0&quot; - (100%) - Excellente&quot;"/>
    </dxf>
    <dxf>
      <numFmt numFmtId="164" formatCode="0&quot; - (0%) - Très Mauvaise&quot;"/>
    </dxf>
    <dxf>
      <numFmt numFmtId="165" formatCode="0&quot; - (25%) - Mauvaise&quot;"/>
    </dxf>
    <dxf>
      <numFmt numFmtId="166" formatCode="0&quot; - (50%) - Moyenne&quot;"/>
    </dxf>
    <dxf>
      <numFmt numFmtId="167" formatCode="0&quot; - (75%) - Bonne&quot;"/>
    </dxf>
    <dxf>
      <numFmt numFmtId="168" formatCode="0&quot; - (100%) - Excellente&quot;"/>
    </dxf>
    <dxf>
      <numFmt numFmtId="164" formatCode="0&quot; - (0%) - Très Mauvaise&quot;"/>
    </dxf>
    <dxf>
      <numFmt numFmtId="165" formatCode="0&quot; - (25%) - Mauvaise&quot;"/>
    </dxf>
    <dxf>
      <numFmt numFmtId="166" formatCode="0&quot; - (50%) - Moyenne&quot;"/>
    </dxf>
    <dxf>
      <numFmt numFmtId="167" formatCode="0&quot; - (75%) - Bonne&quot;"/>
    </dxf>
    <dxf>
      <numFmt numFmtId="168" formatCode="0&quot; - (100%) - Excellente&quot;"/>
    </dxf>
    <dxf>
      <numFmt numFmtId="164" formatCode="0&quot; - (0%) - Très Mauvaise&quot;"/>
    </dxf>
    <dxf>
      <numFmt numFmtId="165" formatCode="0&quot; - (25%) - Mauvaise&quot;"/>
    </dxf>
    <dxf>
      <numFmt numFmtId="166" formatCode="0&quot; - (50%) - Moyenne&quot;"/>
    </dxf>
    <dxf>
      <numFmt numFmtId="167" formatCode="0&quot; - (75%) - Bonne&quot;"/>
    </dxf>
    <dxf>
      <numFmt numFmtId="168" formatCode="0&quot; - (100%) - Excellente&quot;"/>
    </dxf>
    <dxf>
      <numFmt numFmtId="164" formatCode="0&quot; - (0%) - Très Mauvaise&quot;"/>
    </dxf>
    <dxf>
      <numFmt numFmtId="165" formatCode="0&quot; - (25%) - Mauvaise&quot;"/>
    </dxf>
    <dxf>
      <numFmt numFmtId="166" formatCode="0&quot; - (50%) - Moyenne&quot;"/>
    </dxf>
    <dxf>
      <numFmt numFmtId="167" formatCode="0&quot; - (75%) - Bonne&quot;"/>
    </dxf>
    <dxf>
      <numFmt numFmtId="168" formatCode="0&quot; - (100%) - Excellente&quot;"/>
    </dxf>
    <dxf>
      <numFmt numFmtId="164" formatCode="0&quot; - (0%) - Très Mauvaise&quot;"/>
    </dxf>
    <dxf>
      <numFmt numFmtId="165" formatCode="0&quot; - (25%) - Mauvaise&quot;"/>
    </dxf>
    <dxf>
      <numFmt numFmtId="166" formatCode="0&quot; - (50%) - Moyenne&quot;"/>
    </dxf>
    <dxf>
      <numFmt numFmtId="167" formatCode="0&quot; - (75%) - Bonne&quot;"/>
    </dxf>
    <dxf>
      <numFmt numFmtId="168" formatCode="0&quot; - (100%) - Excellente&quot;"/>
    </dxf>
    <dxf>
      <numFmt numFmtId="164" formatCode="0&quot; - (0%) - Très Mauvaise&quot;"/>
    </dxf>
    <dxf>
      <numFmt numFmtId="165" formatCode="0&quot; - (25%) - Mauvaise&quot;"/>
    </dxf>
    <dxf>
      <numFmt numFmtId="166" formatCode="0&quot; - (50%) - Moyenne&quot;"/>
    </dxf>
    <dxf>
      <numFmt numFmtId="167" formatCode="0&quot; - (75%) - Bonne&quot;"/>
    </dxf>
    <dxf>
      <numFmt numFmtId="168" formatCode="0&quot; - (100%) - Excellente&quot;"/>
    </dxf>
    <dxf>
      <numFmt numFmtId="164" formatCode="0&quot; - (0%) - Très Mauvaise&quot;"/>
    </dxf>
    <dxf>
      <numFmt numFmtId="165" formatCode="0&quot; - (25%) - Mauvaise&quot;"/>
    </dxf>
    <dxf>
      <numFmt numFmtId="166" formatCode="0&quot; - (50%) - Moyenne&quot;"/>
    </dxf>
    <dxf>
      <numFmt numFmtId="167" formatCode="0&quot; - (75%) - Bonne&quot;"/>
    </dxf>
    <dxf>
      <numFmt numFmtId="168" formatCode="0&quot; - (100%) - Excellente&quot;"/>
    </dxf>
    <dxf>
      <numFmt numFmtId="164" formatCode="0&quot; - (0%) - Très Mauvaise&quot;"/>
    </dxf>
    <dxf>
      <numFmt numFmtId="165" formatCode="0&quot; - (25%) - Mauvaise&quot;"/>
    </dxf>
    <dxf>
      <numFmt numFmtId="166" formatCode="0&quot; - (50%) - Moyenne&quot;"/>
    </dxf>
    <dxf>
      <numFmt numFmtId="167" formatCode="0&quot; - (75%) - Bonne&quot;"/>
    </dxf>
    <dxf>
      <numFmt numFmtId="168" formatCode="0&quot; - (100%) - Excellente&quot;"/>
    </dxf>
    <dxf>
      <numFmt numFmtId="164" formatCode="0&quot; - (0%) - Très Mauvaise&quot;"/>
    </dxf>
    <dxf>
      <numFmt numFmtId="165" formatCode="0&quot; - (25%) - Mauvaise&quot;"/>
    </dxf>
    <dxf>
      <numFmt numFmtId="166" formatCode="0&quot; - (50%) - Moyenne&quot;"/>
    </dxf>
    <dxf>
      <numFmt numFmtId="167" formatCode="0&quot; - (75%) - Bonne&quot;"/>
    </dxf>
    <dxf>
      <numFmt numFmtId="168" formatCode="0&quot; - (100%) - Excellente&quot;"/>
    </dxf>
    <dxf>
      <numFmt numFmtId="164" formatCode="0&quot; - (0%) - Très Mauvaise&quot;"/>
    </dxf>
    <dxf>
      <numFmt numFmtId="165" formatCode="0&quot; - (25%) - Mauvaise&quot;"/>
    </dxf>
    <dxf>
      <numFmt numFmtId="166" formatCode="0&quot; - (50%) - Moyenne&quot;"/>
    </dxf>
    <dxf>
      <numFmt numFmtId="167" formatCode="0&quot; - (75%) - Bonne&quot;"/>
    </dxf>
    <dxf>
      <numFmt numFmtId="168" formatCode="0&quot; - (100%) - Excellente&quot;"/>
    </dxf>
    <dxf>
      <numFmt numFmtId="164" formatCode="0&quot; - (0%) - Très Mauvaise&quot;"/>
    </dxf>
    <dxf>
      <numFmt numFmtId="165" formatCode="0&quot; - (25%) - Mauvaise&quot;"/>
    </dxf>
    <dxf>
      <numFmt numFmtId="166" formatCode="0&quot; - (50%) - Moyenne&quot;"/>
    </dxf>
    <dxf>
      <numFmt numFmtId="167" formatCode="0&quot; - (75%) - Bonne&quot;"/>
    </dxf>
    <dxf>
      <numFmt numFmtId="168" formatCode="0&quot; - (100%) - Excellente&quot;"/>
    </dxf>
    <dxf>
      <numFmt numFmtId="164" formatCode="0&quot; - (0%) - Très Mauvaise&quot;"/>
    </dxf>
    <dxf>
      <numFmt numFmtId="165" formatCode="0&quot; - (25%) - Mauvaise&quot;"/>
    </dxf>
    <dxf>
      <numFmt numFmtId="166" formatCode="0&quot; - (50%) - Moyenne&quot;"/>
    </dxf>
    <dxf>
      <numFmt numFmtId="167" formatCode="0&quot; - (75%) - Bonne&quot;"/>
    </dxf>
    <dxf>
      <numFmt numFmtId="168" formatCode="0&quot; - (100%) - Excellente&quot;"/>
    </dxf>
    <dxf>
      <numFmt numFmtId="164" formatCode="0&quot; - (0%) - Très Mauvaise&quot;"/>
    </dxf>
    <dxf>
      <numFmt numFmtId="165" formatCode="0&quot; - (25%) - Mauvaise&quot;"/>
    </dxf>
    <dxf>
      <numFmt numFmtId="166" formatCode="0&quot; - (50%) - Moyenne&quot;"/>
    </dxf>
    <dxf>
      <numFmt numFmtId="167" formatCode="0&quot; - (75%) - Bonne&quot;"/>
    </dxf>
    <dxf>
      <numFmt numFmtId="168" formatCode="0&quot; - (100%) - Excellente&quot;"/>
    </dxf>
    <dxf>
      <numFmt numFmtId="164" formatCode="0&quot; - (0%) - Très Mauvaise&quot;"/>
    </dxf>
    <dxf>
      <numFmt numFmtId="165" formatCode="0&quot; - (25%) - Mauvaise&quot;"/>
    </dxf>
    <dxf>
      <numFmt numFmtId="166" formatCode="0&quot; - (50%) - Moyenne&quot;"/>
    </dxf>
    <dxf>
      <numFmt numFmtId="167" formatCode="0&quot; - (75%) - Bonne&quot;"/>
    </dxf>
    <dxf>
      <numFmt numFmtId="168" formatCode="0&quot; - (100%) - Excellente&quot;"/>
    </dxf>
    <dxf>
      <numFmt numFmtId="164" formatCode="0&quot; - (0%) - Très Mauvaise&quot;"/>
    </dxf>
    <dxf>
      <numFmt numFmtId="165" formatCode="0&quot; - (25%) - Mauvaise&quot;"/>
    </dxf>
    <dxf>
      <numFmt numFmtId="166" formatCode="0&quot; - (50%) - Moyenne&quot;"/>
    </dxf>
    <dxf>
      <numFmt numFmtId="167" formatCode="0&quot; - (75%) - Bonne&quot;"/>
    </dxf>
    <dxf>
      <numFmt numFmtId="168" formatCode="0&quot; - (100%) - Excellente&quot;"/>
    </dxf>
    <dxf>
      <numFmt numFmtId="164" formatCode="0&quot; - (0%) - Très Mauvaise&quot;"/>
    </dxf>
    <dxf>
      <numFmt numFmtId="165" formatCode="0&quot; - (25%) - Mauvaise&quot;"/>
    </dxf>
    <dxf>
      <numFmt numFmtId="166" formatCode="0&quot; - (50%) - Moyenne&quot;"/>
    </dxf>
    <dxf>
      <numFmt numFmtId="167" formatCode="0&quot; - (75%) - Bonne&quot;"/>
    </dxf>
    <dxf>
      <numFmt numFmtId="168" formatCode="0&quot; - (100%) - Excellente&quot;"/>
    </dxf>
    <dxf>
      <numFmt numFmtId="164" formatCode="0&quot; - (0%) - Très Mauvaise&quot;"/>
    </dxf>
    <dxf>
      <numFmt numFmtId="165" formatCode="0&quot; - (25%) - Mauvaise&quot;"/>
    </dxf>
    <dxf>
      <numFmt numFmtId="166" formatCode="0&quot; - (50%) - Moyenne&quot;"/>
    </dxf>
    <dxf>
      <numFmt numFmtId="167" formatCode="0&quot; - (75%) - Bonne&quot;"/>
    </dxf>
    <dxf>
      <numFmt numFmtId="168" formatCode="0&quot; - (100%) - Excellente&quot;"/>
    </dxf>
    <dxf>
      <numFmt numFmtId="164" formatCode="0&quot; - (0%) - Très Mauvaise&quot;"/>
    </dxf>
    <dxf>
      <numFmt numFmtId="165" formatCode="0&quot; - (25%) - Mauvaise&quot;"/>
    </dxf>
    <dxf>
      <numFmt numFmtId="166" formatCode="0&quot; - (50%) - Moyenne&quot;"/>
    </dxf>
    <dxf>
      <numFmt numFmtId="167" formatCode="0&quot; - (75%) - Bonne&quot;"/>
    </dxf>
    <dxf>
      <numFmt numFmtId="168" formatCode="0&quot; - (100%) - Excellente&quot;"/>
    </dxf>
    <dxf>
      <numFmt numFmtId="164" formatCode="0&quot; - (0%) - Très Mauvaise&quot;"/>
    </dxf>
    <dxf>
      <numFmt numFmtId="165" formatCode="0&quot; - (25%) - Mauvaise&quot;"/>
    </dxf>
    <dxf>
      <numFmt numFmtId="166" formatCode="0&quot; - (50%) - Moyenne&quot;"/>
    </dxf>
    <dxf>
      <numFmt numFmtId="167" formatCode="0&quot; - (75%) - Bonne&quot;"/>
    </dxf>
    <dxf>
      <numFmt numFmtId="168" formatCode="0&quot; - (100%) - Excellente&quot;"/>
    </dxf>
    <dxf>
      <numFmt numFmtId="164" formatCode="0&quot; - (0%) - Très Mauvaise&quot;"/>
    </dxf>
    <dxf>
      <numFmt numFmtId="165" formatCode="0&quot; - (25%) - Mauvaise&quot;"/>
    </dxf>
    <dxf>
      <numFmt numFmtId="166" formatCode="0&quot; - (50%) - Moyenne&quot;"/>
    </dxf>
    <dxf>
      <numFmt numFmtId="167" formatCode="0&quot; - (75%) - Bonne&quot;"/>
    </dxf>
    <dxf>
      <numFmt numFmtId="168" formatCode="0&quot; - (100%) - Excellente&quot;"/>
    </dxf>
    <dxf>
      <numFmt numFmtId="164" formatCode="0&quot; - (0%) - Très Mauvaise&quot;"/>
    </dxf>
    <dxf>
      <numFmt numFmtId="165" formatCode="0&quot; - (25%) - Mauvaise&quot;"/>
    </dxf>
    <dxf>
      <numFmt numFmtId="166" formatCode="0&quot; - (50%) - Moyenne&quot;"/>
    </dxf>
    <dxf>
      <numFmt numFmtId="167" formatCode="0&quot; - (75%) - Bonne&quot;"/>
    </dxf>
    <dxf>
      <numFmt numFmtId="168" formatCode="0&quot; - (100%) - Excellente&quot;"/>
    </dxf>
    <dxf>
      <numFmt numFmtId="164" formatCode="0&quot; - (0%) - Très Mauvaise&quot;"/>
    </dxf>
    <dxf>
      <numFmt numFmtId="165" formatCode="0&quot; - (25%) - Mauvaise&quot;"/>
    </dxf>
    <dxf>
      <numFmt numFmtId="166" formatCode="0&quot; - (50%) - Moyenne&quot;"/>
    </dxf>
    <dxf>
      <numFmt numFmtId="167" formatCode="0&quot; - (75%) - Bonne&quot;"/>
    </dxf>
    <dxf>
      <numFmt numFmtId="168" formatCode="0&quot; - (100%) - Excellente&quot;"/>
    </dxf>
    <dxf>
      <numFmt numFmtId="164" formatCode="0&quot; - (0%) - Très Mauvaise&quot;"/>
    </dxf>
    <dxf>
      <numFmt numFmtId="165" formatCode="0&quot; - (25%) - Mauvaise&quot;"/>
    </dxf>
    <dxf>
      <numFmt numFmtId="166" formatCode="0&quot; - (50%) - Moyenne&quot;"/>
    </dxf>
    <dxf>
      <numFmt numFmtId="167" formatCode="0&quot; - (75%) - Bonne&quot;"/>
    </dxf>
    <dxf>
      <numFmt numFmtId="168" formatCode="0&quot; - (100%) - Excellente&quot;"/>
    </dxf>
    <dxf>
      <numFmt numFmtId="164" formatCode="0&quot; - (0%) - Très Mauvaise&quot;"/>
    </dxf>
    <dxf>
      <numFmt numFmtId="165" formatCode="0&quot; - (25%) - Mauvaise&quot;"/>
    </dxf>
    <dxf>
      <numFmt numFmtId="166" formatCode="0&quot; - (50%) - Moyenne&quot;"/>
    </dxf>
    <dxf>
      <numFmt numFmtId="167" formatCode="0&quot; - (75%) - Bonne&quot;"/>
    </dxf>
    <dxf>
      <numFmt numFmtId="168" formatCode="0&quot; - (100%) - Excellente&quot;"/>
    </dxf>
    <dxf>
      <numFmt numFmtId="164" formatCode="0&quot; - (0%) - Très Mauvaise&quot;"/>
    </dxf>
    <dxf>
      <numFmt numFmtId="165" formatCode="0&quot; - (25%) - Mauvaise&quot;"/>
    </dxf>
    <dxf>
      <numFmt numFmtId="166" formatCode="0&quot; - (50%) - Moyenne&quot;"/>
    </dxf>
    <dxf>
      <numFmt numFmtId="167" formatCode="0&quot; - (75%) - Bonne&quot;"/>
    </dxf>
    <dxf>
      <numFmt numFmtId="168" formatCode="0&quot; - (100%) - Excellente&quot;"/>
    </dxf>
    <dxf>
      <numFmt numFmtId="164" formatCode="0&quot; - (0%) - Très Mauvaise&quot;"/>
    </dxf>
    <dxf>
      <numFmt numFmtId="165" formatCode="0&quot; - (25%) - Mauvaise&quot;"/>
    </dxf>
    <dxf>
      <numFmt numFmtId="166" formatCode="0&quot; - (50%) - Moyenne&quot;"/>
    </dxf>
    <dxf>
      <numFmt numFmtId="167" formatCode="0&quot; - (75%) - Bonne&quot;"/>
    </dxf>
    <dxf>
      <numFmt numFmtId="168" formatCode="0&quot; - (100%) - Excellente&quot;"/>
    </dxf>
    <dxf>
      <numFmt numFmtId="164" formatCode="0&quot; - (0%) - Très Mauvaise&quot;"/>
    </dxf>
    <dxf>
      <numFmt numFmtId="165" formatCode="0&quot; - (25%) - Mauvaise&quot;"/>
    </dxf>
    <dxf>
      <numFmt numFmtId="166" formatCode="0&quot; - (50%) - Moyenne&quot;"/>
    </dxf>
    <dxf>
      <numFmt numFmtId="167" formatCode="0&quot; - (75%) - Bonne&quot;"/>
    </dxf>
    <dxf>
      <numFmt numFmtId="168" formatCode="0&quot; - (100%) - Excellente&quot;"/>
    </dxf>
    <dxf>
      <numFmt numFmtId="164" formatCode="0&quot; - (0%) - Très Mauvaise&quot;"/>
    </dxf>
    <dxf>
      <numFmt numFmtId="165" formatCode="0&quot; - (25%) - Mauvaise&quot;"/>
    </dxf>
    <dxf>
      <numFmt numFmtId="166" formatCode="0&quot; - (50%) - Moyenne&quot;"/>
    </dxf>
    <dxf>
      <numFmt numFmtId="167" formatCode="0&quot; - (75%) - Bonne&quot;"/>
    </dxf>
    <dxf>
      <numFmt numFmtId="168" formatCode="0&quot; - (100%) - Excellente&quot;"/>
    </dxf>
    <dxf>
      <numFmt numFmtId="164" formatCode="0&quot; - (0%) - Très Mauvaise&quot;"/>
    </dxf>
    <dxf>
      <numFmt numFmtId="165" formatCode="0&quot; - (25%) - Mauvaise&quot;"/>
    </dxf>
    <dxf>
      <numFmt numFmtId="166" formatCode="0&quot; - (50%) - Moyenne&quot;"/>
    </dxf>
    <dxf>
      <numFmt numFmtId="167" formatCode="0&quot; - (75%) - Bonne&quot;"/>
    </dxf>
    <dxf>
      <numFmt numFmtId="168" formatCode="0&quot; - (100%) - Excellente&quot;"/>
    </dxf>
    <dxf>
      <numFmt numFmtId="164" formatCode="0&quot; - (0%) - Très Mauvaise&quot;"/>
    </dxf>
    <dxf>
      <numFmt numFmtId="165" formatCode="0&quot; - (25%) - Mauvaise&quot;"/>
    </dxf>
    <dxf>
      <numFmt numFmtId="166" formatCode="0&quot; - (50%) - Moyenne&quot;"/>
    </dxf>
    <dxf>
      <numFmt numFmtId="167" formatCode="0&quot; - (75%) - Bonne&quot;"/>
    </dxf>
    <dxf>
      <numFmt numFmtId="168" formatCode="0&quot; - (100%) - Excellente&quot;"/>
    </dxf>
    <dxf>
      <numFmt numFmtId="164" formatCode="0&quot; - (0%) - Très Mauvaise&quot;"/>
    </dxf>
    <dxf>
      <numFmt numFmtId="165" formatCode="0&quot; - (25%) - Mauvaise&quot;"/>
    </dxf>
    <dxf>
      <numFmt numFmtId="166" formatCode="0&quot; - (50%) - Moyenne&quot;"/>
    </dxf>
    <dxf>
      <numFmt numFmtId="167" formatCode="0&quot; - (75%) - Bonne&quot;"/>
    </dxf>
    <dxf>
      <numFmt numFmtId="168" formatCode="0&quot; - (100%) - Excellente&quot;"/>
    </dxf>
    <dxf>
      <numFmt numFmtId="164" formatCode="0&quot; - (0%) - Très Mauvaise&quot;"/>
    </dxf>
    <dxf>
      <numFmt numFmtId="165" formatCode="0&quot; - (25%) - Mauvaise&quot;"/>
    </dxf>
    <dxf>
      <numFmt numFmtId="166" formatCode="0&quot; - (50%) - Moyenne&quot;"/>
    </dxf>
    <dxf>
      <numFmt numFmtId="167" formatCode="0&quot; - (75%) - Bonne&quot;"/>
    </dxf>
    <dxf>
      <numFmt numFmtId="168" formatCode="0&quot; - (100%) - Excellente&quot;"/>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13" Type="http://schemas.openxmlformats.org/officeDocument/2006/relationships/customXml" Target="../customXml/item3.xml"/><Relationship Id="rId3" Type="http://schemas.openxmlformats.org/officeDocument/2006/relationships/worksheet" Target="worksheets/sheet3.xml"/><Relationship Id="rId7" Type="http://schemas.openxmlformats.org/officeDocument/2006/relationships/theme" Target="theme/theme1.xml"/><Relationship Id="rId12" Type="http://schemas.openxmlformats.org/officeDocument/2006/relationships/customXml" Target="../customXml/item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externalLink" Target="externalLinks/externalLink2.xml"/><Relationship Id="rId11" Type="http://schemas.openxmlformats.org/officeDocument/2006/relationships/customXml" Target="../customXml/item1.xml"/><Relationship Id="rId5" Type="http://schemas.openxmlformats.org/officeDocument/2006/relationships/externalLink" Target="externalLinks/externalLink1.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3</xdr:col>
      <xdr:colOff>0</xdr:colOff>
      <xdr:row>3</xdr:row>
      <xdr:rowOff>0</xdr:rowOff>
    </xdr:from>
    <xdr:to>
      <xdr:col>3</xdr:col>
      <xdr:colOff>304800</xdr:colOff>
      <xdr:row>4</xdr:row>
      <xdr:rowOff>121920</xdr:rowOff>
    </xdr:to>
    <xdr:sp macro="" textlink="">
      <xdr:nvSpPr>
        <xdr:cNvPr id="2050" name="AutoShape 2" descr="Radar de performance logistique avec cercles de seuils">
          <a:extLst>
            <a:ext uri="{FF2B5EF4-FFF2-40B4-BE49-F238E27FC236}">
              <a16:creationId xmlns:a16="http://schemas.microsoft.com/office/drawing/2014/main" id="{00000000-0008-0000-0100-000002080000}"/>
            </a:ext>
          </a:extLst>
        </xdr:cNvPr>
        <xdr:cNvSpPr>
          <a:spLocks noChangeAspect="1" noChangeArrowheads="1"/>
        </xdr:cNvSpPr>
      </xdr:nvSpPr>
      <xdr:spPr bwMode="auto">
        <a:xfrm>
          <a:off x="2377440" y="54864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3</xdr:col>
      <xdr:colOff>0</xdr:colOff>
      <xdr:row>5</xdr:row>
      <xdr:rowOff>0</xdr:rowOff>
    </xdr:from>
    <xdr:to>
      <xdr:col>3</xdr:col>
      <xdr:colOff>304800</xdr:colOff>
      <xdr:row>6</xdr:row>
      <xdr:rowOff>121920</xdr:rowOff>
    </xdr:to>
    <xdr:sp macro="" textlink="">
      <xdr:nvSpPr>
        <xdr:cNvPr id="2051" name="AutoShape 3" descr="Radar de performance logistique avec cercles de seuils">
          <a:extLst>
            <a:ext uri="{FF2B5EF4-FFF2-40B4-BE49-F238E27FC236}">
              <a16:creationId xmlns:a16="http://schemas.microsoft.com/office/drawing/2014/main" id="{00000000-0008-0000-0100-000003080000}"/>
            </a:ext>
          </a:extLst>
        </xdr:cNvPr>
        <xdr:cNvSpPr>
          <a:spLocks noChangeAspect="1" noChangeArrowheads="1"/>
        </xdr:cNvSpPr>
      </xdr:nvSpPr>
      <xdr:spPr bwMode="auto">
        <a:xfrm>
          <a:off x="2377440" y="914400"/>
          <a:ext cx="304800" cy="304800"/>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2.xml><?xml version="1.0" encoding="utf-8"?>
<xdr:wsDr xmlns:xdr="http://schemas.openxmlformats.org/drawingml/2006/spreadsheetDrawing" xmlns:a="http://schemas.openxmlformats.org/drawingml/2006/main">
  <xdr:twoCellAnchor editAs="oneCell">
    <xdr:from>
      <xdr:col>7</xdr:col>
      <xdr:colOff>150169</xdr:colOff>
      <xdr:row>16</xdr:row>
      <xdr:rowOff>160733</xdr:rowOff>
    </xdr:from>
    <xdr:to>
      <xdr:col>12</xdr:col>
      <xdr:colOff>22861</xdr:colOff>
      <xdr:row>19</xdr:row>
      <xdr:rowOff>380333</xdr:rowOff>
    </xdr:to>
    <xdr:pic>
      <xdr:nvPicPr>
        <xdr:cNvPr id="2" name="Image 1"/>
        <xdr:cNvPicPr>
          <a:picLocks noChangeAspect="1"/>
        </xdr:cNvPicPr>
      </xdr:nvPicPr>
      <xdr:blipFill>
        <a:blip xmlns:r="http://schemas.openxmlformats.org/officeDocument/2006/relationships" r:embed="rId1"/>
        <a:stretch>
          <a:fillRect/>
        </a:stretch>
      </xdr:blipFill>
      <xdr:spPr>
        <a:xfrm>
          <a:off x="11153449" y="4687013"/>
          <a:ext cx="3796992" cy="188838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D:\KitLogV3_6\EN\2.Project_Cycle\2.1.Log%20Project%20cycle\A.Standard_forms\01.PPP_V3_4.xlsx" TargetMode="External"/></Relationships>
</file>

<file path=xl/externalLinks/_rels/externalLink2.xml.rels><?xml version="1.0" encoding="UTF-8" standalone="yes"?>
<Relationships xmlns="http://schemas.openxmlformats.org/package/2006/relationships"><Relationship Id="rId1" Type="http://schemas.openxmlformats.org/officeDocument/2006/relationships/externalLinkPath" Target="file:///D:\Users\ope\AppData\Local\Temp\PPP_BD_CO_A1P_v20140119_vFinal.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sts"/>
      <sheetName val="Project Funding Flowchart"/>
      <sheetName val="How to use"/>
      <sheetName val="PPP"/>
      <sheetName val="Pivot Check"/>
      <sheetName val="Validation"/>
    </sheetNames>
    <sheetDataSet>
      <sheetData sheetId="0"/>
      <sheetData sheetId="1" refreshError="1"/>
      <sheetData sheetId="2"/>
      <sheetData sheetId="3" refreshError="1"/>
      <sheetData sheetId="4" refreshError="1"/>
      <sheetData sheetId="5" refreshError="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Lists"/>
      <sheetName val="Project Funding Flowchart"/>
      <sheetName val="How to use"/>
      <sheetName val="PPP"/>
      <sheetName val="Validation"/>
      <sheetName val="PPP Check"/>
      <sheetName val="Market Mapping_v20131218"/>
      <sheetName val="Supply Mapping_v20131106"/>
      <sheetName val="Feuil1"/>
    </sheetNames>
    <sheetDataSet>
      <sheetData sheetId="0"/>
      <sheetData sheetId="1"/>
      <sheetData sheetId="2"/>
      <sheetData sheetId="3"/>
      <sheetData sheetId="4"/>
      <sheetData sheetId="5"/>
      <sheetData sheetId="6"/>
      <sheetData sheetId="7"/>
      <sheetData sheetId="8"/>
    </sheetDataSet>
  </externalBook>
</externalLink>
</file>

<file path=xl/theme/theme1.xml><?xml version="1.0" encoding="utf-8"?>
<a:theme xmlns:a="http://schemas.openxmlformats.org/drawingml/2006/main" name="Thème 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mc:Ignorable="x14ac">
  <dimension ref="A1:R117"/>
  <sheetViews>
    <sheetView tabSelected="1" topLeftCell="B1" zoomScale="90" zoomScaleNormal="90" workbookViewId="0">
      <pane ySplit="1" topLeftCell="A77" activePane="bottomLeft" state="frozen"/>
      <selection activeCell="B1" sqref="B1"/>
      <selection pane="bottomLeft" activeCell="C96" sqref="C96"/>
    </sheetView>
  </sheetViews>
  <sheetFormatPr baseColWidth="10" defaultColWidth="11.44140625" defaultRowHeight="14.4" outlineLevelCol="1" x14ac:dyDescent="0.3"/>
  <cols>
    <col min="1" max="1" width="32.88671875" hidden="1" customWidth="1"/>
    <col min="2" max="2" width="123.44140625" customWidth="1"/>
    <col min="3" max="3" width="48.6640625" customWidth="1"/>
    <col min="4" max="4" width="19.33203125" bestFit="1" customWidth="1"/>
    <col min="5" max="5" width="19.33203125" hidden="1" customWidth="1"/>
    <col min="6" max="6" width="15.33203125" customWidth="1"/>
    <col min="7" max="8" width="15" customWidth="1"/>
    <col min="9" max="10" width="19.33203125" customWidth="1" outlineLevel="1"/>
    <col min="11" max="11" width="14.6640625" customWidth="1" outlineLevel="1"/>
    <col min="12" max="12" width="19.33203125" customWidth="1" outlineLevel="1"/>
    <col min="13" max="13" width="13.88671875" customWidth="1" outlineLevel="1"/>
    <col min="14" max="14" width="14.33203125" customWidth="1" outlineLevel="1"/>
    <col min="15" max="15" width="19.33203125" customWidth="1" outlineLevel="1"/>
    <col min="16" max="16" width="10.6640625" customWidth="1" outlineLevel="1"/>
    <col min="17" max="17" width="10.33203125" customWidth="1" outlineLevel="1"/>
    <col min="18" max="18" width="101.44140625" customWidth="1"/>
  </cols>
  <sheetData>
    <row r="1" spans="1:18" ht="15" thickBot="1" x14ac:dyDescent="0.35">
      <c r="A1" s="23"/>
      <c r="B1" s="28" t="s">
        <v>0</v>
      </c>
      <c r="C1" s="94" t="s">
        <v>1</v>
      </c>
      <c r="D1" s="29" t="s">
        <v>2</v>
      </c>
      <c r="E1" s="29" t="s">
        <v>3</v>
      </c>
      <c r="F1" s="29"/>
      <c r="G1" s="48" t="s">
        <v>2</v>
      </c>
      <c r="H1" s="48" t="s">
        <v>4</v>
      </c>
      <c r="I1" s="32" t="s">
        <v>5</v>
      </c>
      <c r="J1" s="33" t="s">
        <v>6</v>
      </c>
      <c r="K1" s="33" t="s">
        <v>7</v>
      </c>
      <c r="L1" s="33" t="s">
        <v>8</v>
      </c>
      <c r="M1" s="46" t="s">
        <v>9</v>
      </c>
      <c r="N1" s="34" t="s">
        <v>10</v>
      </c>
      <c r="O1" s="34" t="s">
        <v>11</v>
      </c>
      <c r="P1" s="35" t="s">
        <v>12</v>
      </c>
      <c r="Q1" s="36" t="s">
        <v>13</v>
      </c>
      <c r="R1" s="39" t="s">
        <v>340</v>
      </c>
    </row>
    <row r="2" spans="1:18" x14ac:dyDescent="0.3">
      <c r="A2" s="23"/>
      <c r="B2" s="1" t="s">
        <v>14</v>
      </c>
      <c r="C2" s="13"/>
      <c r="D2" s="13"/>
      <c r="E2" s="90"/>
      <c r="F2" s="22"/>
      <c r="G2" s="2"/>
      <c r="H2" s="2"/>
      <c r="I2" s="37"/>
      <c r="J2" s="37"/>
      <c r="K2" s="37"/>
      <c r="L2" s="37"/>
      <c r="M2" s="37"/>
      <c r="N2" s="37"/>
      <c r="O2" s="37"/>
      <c r="P2" s="37"/>
      <c r="Q2" s="38"/>
      <c r="R2" s="23"/>
    </row>
    <row r="3" spans="1:18" ht="14.4" customHeight="1" x14ac:dyDescent="0.3">
      <c r="A3" s="81" t="s">
        <v>15</v>
      </c>
      <c r="B3" s="43" t="s">
        <v>16</v>
      </c>
      <c r="C3" s="14" t="s">
        <v>17</v>
      </c>
      <c r="D3" s="51" t="s">
        <v>18</v>
      </c>
      <c r="E3" s="3" t="s">
        <v>19</v>
      </c>
      <c r="F3" s="31" t="s">
        <v>20</v>
      </c>
      <c r="G3" s="49">
        <f t="shared" ref="G3" si="0">VALUE(IF(F3&lt;&gt;"-",MID($F3,1,1),0))</f>
        <v>0</v>
      </c>
      <c r="H3" s="50">
        <f t="shared" ref="H3" si="1">VALUE(IF(F3&lt;&gt;"-",MID(F3,1,1)*MID($F3,1,1),0))</f>
        <v>0</v>
      </c>
      <c r="I3" s="41"/>
      <c r="J3" s="41"/>
      <c r="K3" s="41"/>
      <c r="L3" s="41" t="s">
        <v>21</v>
      </c>
      <c r="M3" s="41"/>
      <c r="N3" s="40"/>
      <c r="O3" s="40"/>
      <c r="P3" s="42"/>
      <c r="Q3" s="41" t="s">
        <v>21</v>
      </c>
      <c r="R3" s="23"/>
    </row>
    <row r="4" spans="1:18" x14ac:dyDescent="0.3">
      <c r="A4" s="80" t="s">
        <v>22</v>
      </c>
      <c r="B4" s="69" t="s">
        <v>341</v>
      </c>
      <c r="C4" s="15" t="s">
        <v>23</v>
      </c>
      <c r="D4" s="4" t="s">
        <v>18</v>
      </c>
      <c r="E4" s="4" t="s">
        <v>19</v>
      </c>
      <c r="F4" s="31" t="s">
        <v>20</v>
      </c>
      <c r="G4" s="49">
        <f t="shared" ref="G4:G11" si="2">VALUE(IF(F4&lt;&gt;"-",MID($F4,1,1),0))</f>
        <v>0</v>
      </c>
      <c r="H4" s="50">
        <f t="shared" ref="H4:H11" si="3">VALUE(IF(F4&lt;&gt;"-",MID(F4,1,1)*MID($F4,1,1),0))</f>
        <v>0</v>
      </c>
      <c r="I4" s="41"/>
      <c r="J4" s="41"/>
      <c r="K4" s="41"/>
      <c r="L4" s="41" t="s">
        <v>21</v>
      </c>
      <c r="M4" s="41"/>
      <c r="N4" s="40" t="s">
        <v>21</v>
      </c>
      <c r="O4" s="40"/>
      <c r="P4" s="42"/>
      <c r="Q4" s="41" t="s">
        <v>21</v>
      </c>
      <c r="R4" s="23"/>
    </row>
    <row r="5" spans="1:18" x14ac:dyDescent="0.3">
      <c r="A5" s="81" t="s">
        <v>24</v>
      </c>
      <c r="B5" s="70" t="s">
        <v>241</v>
      </c>
      <c r="C5" s="14" t="s">
        <v>25</v>
      </c>
      <c r="D5" s="10" t="s">
        <v>26</v>
      </c>
      <c r="E5" s="4" t="s">
        <v>27</v>
      </c>
      <c r="F5" s="31" t="s">
        <v>20</v>
      </c>
      <c r="G5" s="49">
        <f t="shared" si="2"/>
        <v>0</v>
      </c>
      <c r="H5" s="50">
        <f t="shared" si="3"/>
        <v>0</v>
      </c>
      <c r="I5" s="41"/>
      <c r="J5" s="41"/>
      <c r="K5" s="41"/>
      <c r="L5" s="41"/>
      <c r="M5" s="41"/>
      <c r="N5" s="40" t="s">
        <v>21</v>
      </c>
      <c r="O5" s="40"/>
      <c r="P5" s="42" t="s">
        <v>21</v>
      </c>
      <c r="Q5" s="41" t="s">
        <v>21</v>
      </c>
      <c r="R5" s="23"/>
    </row>
    <row r="6" spans="1:18" x14ac:dyDescent="0.3">
      <c r="A6" s="81" t="s">
        <v>28</v>
      </c>
      <c r="B6" s="43" t="s">
        <v>29</v>
      </c>
      <c r="C6" s="14" t="s">
        <v>286</v>
      </c>
      <c r="D6" s="4" t="s">
        <v>18</v>
      </c>
      <c r="E6" s="4" t="s">
        <v>19</v>
      </c>
      <c r="F6" s="31" t="s">
        <v>20</v>
      </c>
      <c r="G6" s="49">
        <f t="shared" si="2"/>
        <v>0</v>
      </c>
      <c r="H6" s="50">
        <f t="shared" si="3"/>
        <v>0</v>
      </c>
      <c r="I6" s="41"/>
      <c r="J6" s="41"/>
      <c r="K6" s="41" t="s">
        <v>21</v>
      </c>
      <c r="L6" s="41"/>
      <c r="M6" s="41"/>
      <c r="N6" s="40"/>
      <c r="O6" s="40"/>
      <c r="P6" s="42"/>
      <c r="Q6" s="41" t="s">
        <v>21</v>
      </c>
      <c r="R6" s="23"/>
    </row>
    <row r="7" spans="1:18" ht="28.8" x14ac:dyDescent="0.3">
      <c r="A7" s="80" t="s">
        <v>30</v>
      </c>
      <c r="B7" s="69" t="s">
        <v>332</v>
      </c>
      <c r="C7" s="108" t="s">
        <v>31</v>
      </c>
      <c r="D7" s="4" t="s">
        <v>26</v>
      </c>
      <c r="E7" s="51" t="s">
        <v>19</v>
      </c>
      <c r="F7" s="31" t="s">
        <v>20</v>
      </c>
      <c r="G7" s="49">
        <f t="shared" si="2"/>
        <v>0</v>
      </c>
      <c r="H7" s="50">
        <f t="shared" si="3"/>
        <v>0</v>
      </c>
      <c r="I7" s="41"/>
      <c r="J7" s="41" t="s">
        <v>21</v>
      </c>
      <c r="K7" s="41"/>
      <c r="L7" s="41"/>
      <c r="M7" s="41"/>
      <c r="N7" s="40"/>
      <c r="O7" s="40"/>
      <c r="P7" s="42"/>
      <c r="Q7" s="41" t="s">
        <v>21</v>
      </c>
      <c r="R7" s="23"/>
    </row>
    <row r="8" spans="1:18" x14ac:dyDescent="0.3">
      <c r="A8" s="80" t="s">
        <v>33</v>
      </c>
      <c r="B8" s="44" t="s">
        <v>242</v>
      </c>
      <c r="C8" s="15" t="s">
        <v>333</v>
      </c>
      <c r="D8" s="4" t="s">
        <v>32</v>
      </c>
      <c r="E8" s="4" t="s">
        <v>34</v>
      </c>
      <c r="F8" s="31" t="s">
        <v>20</v>
      </c>
      <c r="G8" s="49">
        <f t="shared" si="2"/>
        <v>0</v>
      </c>
      <c r="H8" s="50">
        <f t="shared" si="3"/>
        <v>0</v>
      </c>
      <c r="I8" s="41"/>
      <c r="J8" s="41"/>
      <c r="K8" s="41" t="s">
        <v>21</v>
      </c>
      <c r="L8" s="41"/>
      <c r="M8" s="41"/>
      <c r="N8" s="40" t="s">
        <v>21</v>
      </c>
      <c r="O8" s="40"/>
      <c r="P8" s="42"/>
      <c r="Q8" s="41" t="s">
        <v>21</v>
      </c>
      <c r="R8" s="23"/>
    </row>
    <row r="9" spans="1:18" x14ac:dyDescent="0.3">
      <c r="A9" s="80"/>
      <c r="B9" s="44" t="s">
        <v>243</v>
      </c>
      <c r="C9" s="15" t="s">
        <v>287</v>
      </c>
      <c r="D9" s="4" t="s">
        <v>18</v>
      </c>
      <c r="E9" s="3" t="s">
        <v>34</v>
      </c>
      <c r="F9" s="31" t="s">
        <v>20</v>
      </c>
      <c r="G9" s="49">
        <f t="shared" si="2"/>
        <v>0</v>
      </c>
      <c r="H9" s="50">
        <f t="shared" si="3"/>
        <v>0</v>
      </c>
      <c r="I9" s="41"/>
      <c r="J9" s="41"/>
      <c r="K9" s="41" t="s">
        <v>21</v>
      </c>
      <c r="L9" s="41"/>
      <c r="M9" s="41"/>
      <c r="N9" s="40"/>
      <c r="O9" s="40"/>
      <c r="P9" s="42"/>
      <c r="Q9" s="41" t="s">
        <v>21</v>
      </c>
      <c r="R9" s="23"/>
    </row>
    <row r="10" spans="1:18" x14ac:dyDescent="0.3">
      <c r="A10" s="80" t="s">
        <v>35</v>
      </c>
      <c r="B10" s="44" t="s">
        <v>244</v>
      </c>
      <c r="C10" s="15" t="s">
        <v>36</v>
      </c>
      <c r="D10" s="4" t="s">
        <v>18</v>
      </c>
      <c r="E10" s="4" t="s">
        <v>34</v>
      </c>
      <c r="F10" s="31" t="s">
        <v>20</v>
      </c>
      <c r="G10" s="49">
        <f t="shared" si="2"/>
        <v>0</v>
      </c>
      <c r="H10" s="50">
        <f t="shared" si="3"/>
        <v>0</v>
      </c>
      <c r="I10" s="41"/>
      <c r="J10" s="41"/>
      <c r="K10" s="41" t="s">
        <v>21</v>
      </c>
      <c r="L10" s="41"/>
      <c r="M10" s="41"/>
      <c r="N10" s="40" t="s">
        <v>21</v>
      </c>
      <c r="O10" s="40"/>
      <c r="P10" s="42"/>
      <c r="Q10" s="41" t="s">
        <v>21</v>
      </c>
      <c r="R10" s="23"/>
    </row>
    <row r="11" spans="1:18" ht="15" thickBot="1" x14ac:dyDescent="0.35">
      <c r="A11" s="80" t="s">
        <v>37</v>
      </c>
      <c r="B11" s="44" t="s">
        <v>245</v>
      </c>
      <c r="C11" s="15" t="s">
        <v>38</v>
      </c>
      <c r="D11" s="4" t="s">
        <v>26</v>
      </c>
      <c r="E11" s="4" t="s">
        <v>19</v>
      </c>
      <c r="F11" s="31" t="s">
        <v>20</v>
      </c>
      <c r="G11" s="49">
        <f t="shared" si="2"/>
        <v>0</v>
      </c>
      <c r="H11" s="50">
        <f t="shared" si="3"/>
        <v>0</v>
      </c>
      <c r="I11" s="41"/>
      <c r="J11" s="41"/>
      <c r="K11" s="41"/>
      <c r="L11" s="41"/>
      <c r="M11" s="41"/>
      <c r="N11" s="40"/>
      <c r="O11" s="40"/>
      <c r="P11" s="42"/>
      <c r="Q11" s="41" t="s">
        <v>21</v>
      </c>
      <c r="R11" s="23"/>
    </row>
    <row r="12" spans="1:18" x14ac:dyDescent="0.3">
      <c r="A12" s="23"/>
      <c r="B12" s="1" t="s">
        <v>39</v>
      </c>
      <c r="C12" s="13"/>
      <c r="D12" s="13"/>
      <c r="E12" s="90"/>
      <c r="F12" s="22"/>
      <c r="G12" s="22"/>
      <c r="H12" s="22"/>
      <c r="I12" s="41"/>
      <c r="J12" s="41"/>
      <c r="K12" s="41"/>
      <c r="L12" s="41"/>
      <c r="M12" s="41"/>
      <c r="N12" s="40"/>
      <c r="O12" s="40"/>
      <c r="P12" s="42"/>
      <c r="Q12" s="41"/>
      <c r="R12" s="23"/>
    </row>
    <row r="13" spans="1:18" ht="16.95" customHeight="1" x14ac:dyDescent="0.3">
      <c r="A13" s="80" t="s">
        <v>40</v>
      </c>
      <c r="B13" s="71" t="s">
        <v>41</v>
      </c>
      <c r="C13" s="15" t="s">
        <v>288</v>
      </c>
      <c r="D13" s="3" t="s">
        <v>26</v>
      </c>
      <c r="E13" s="3" t="s">
        <v>42</v>
      </c>
      <c r="F13" s="31" t="s">
        <v>20</v>
      </c>
      <c r="G13" s="49">
        <f t="shared" ref="G13:G18" si="4">VALUE(IF(F13&lt;&gt;"-",MID($F13,1,1),0))</f>
        <v>0</v>
      </c>
      <c r="H13" s="50">
        <f t="shared" ref="H13:H18" si="5">VALUE(IF(F13&lt;&gt;"-",MID(F13,1,1)*MID($F13,1,1),0))</f>
        <v>0</v>
      </c>
      <c r="I13" s="41"/>
      <c r="J13" s="41"/>
      <c r="K13" s="41"/>
      <c r="L13" s="41" t="s">
        <v>21</v>
      </c>
      <c r="M13" s="41"/>
      <c r="N13" s="40" t="s">
        <v>21</v>
      </c>
      <c r="O13" s="40" t="s">
        <v>21</v>
      </c>
      <c r="P13" s="42"/>
      <c r="Q13" s="41"/>
      <c r="R13" s="23"/>
    </row>
    <row r="14" spans="1:18" x14ac:dyDescent="0.3">
      <c r="A14" s="80" t="s">
        <v>43</v>
      </c>
      <c r="B14" s="9" t="s">
        <v>44</v>
      </c>
      <c r="C14" s="15" t="s">
        <v>289</v>
      </c>
      <c r="D14" s="4" t="s">
        <v>26</v>
      </c>
      <c r="E14" s="4" t="s">
        <v>45</v>
      </c>
      <c r="F14" s="31" t="s">
        <v>20</v>
      </c>
      <c r="G14" s="49">
        <f t="shared" si="4"/>
        <v>0</v>
      </c>
      <c r="H14" s="50">
        <f t="shared" si="5"/>
        <v>0</v>
      </c>
      <c r="I14" s="41" t="s">
        <v>21</v>
      </c>
      <c r="J14" s="41" t="s">
        <v>21</v>
      </c>
      <c r="K14" s="41"/>
      <c r="L14" s="41"/>
      <c r="M14" s="41"/>
      <c r="N14" s="40" t="s">
        <v>21</v>
      </c>
      <c r="O14" s="40"/>
      <c r="P14" s="42"/>
      <c r="Q14" s="41"/>
      <c r="R14" s="23"/>
    </row>
    <row r="15" spans="1:18" x14ac:dyDescent="0.3">
      <c r="A15" s="80" t="s">
        <v>46</v>
      </c>
      <c r="B15" s="9" t="s">
        <v>47</v>
      </c>
      <c r="C15" s="15" t="s">
        <v>48</v>
      </c>
      <c r="D15" s="4" t="s">
        <v>26</v>
      </c>
      <c r="E15" s="4" t="s">
        <v>19</v>
      </c>
      <c r="F15" s="31" t="s">
        <v>20</v>
      </c>
      <c r="G15" s="49">
        <f t="shared" si="4"/>
        <v>0</v>
      </c>
      <c r="H15" s="50">
        <f t="shared" si="5"/>
        <v>0</v>
      </c>
      <c r="I15" s="41"/>
      <c r="J15" s="41"/>
      <c r="K15" s="41"/>
      <c r="L15" s="41" t="s">
        <v>21</v>
      </c>
      <c r="M15" s="41"/>
      <c r="N15" s="40" t="s">
        <v>21</v>
      </c>
      <c r="O15" s="40"/>
      <c r="P15" s="42"/>
      <c r="Q15" s="41" t="s">
        <v>21</v>
      </c>
      <c r="R15" s="23"/>
    </row>
    <row r="16" spans="1:18" x14ac:dyDescent="0.3">
      <c r="A16" s="80" t="s">
        <v>49</v>
      </c>
      <c r="B16" s="9" t="s">
        <v>50</v>
      </c>
      <c r="C16" s="15" t="s">
        <v>51</v>
      </c>
      <c r="D16" s="4" t="s">
        <v>26</v>
      </c>
      <c r="E16" s="4" t="s">
        <v>27</v>
      </c>
      <c r="F16" s="31" t="s">
        <v>20</v>
      </c>
      <c r="G16" s="49">
        <f t="shared" si="4"/>
        <v>0</v>
      </c>
      <c r="H16" s="50">
        <f t="shared" si="5"/>
        <v>0</v>
      </c>
      <c r="I16" s="41" t="s">
        <v>21</v>
      </c>
      <c r="J16" s="41"/>
      <c r="K16" s="41"/>
      <c r="L16" s="41" t="s">
        <v>21</v>
      </c>
      <c r="M16" s="41"/>
      <c r="N16" s="40" t="s">
        <v>21</v>
      </c>
      <c r="O16" s="40"/>
      <c r="P16" s="42"/>
      <c r="Q16" s="41"/>
      <c r="R16" s="23"/>
    </row>
    <row r="17" spans="1:18" x14ac:dyDescent="0.3">
      <c r="A17" s="80" t="s">
        <v>52</v>
      </c>
      <c r="B17" s="9" t="s">
        <v>53</v>
      </c>
      <c r="C17" s="15" t="s">
        <v>54</v>
      </c>
      <c r="D17" s="4" t="s">
        <v>26</v>
      </c>
      <c r="E17" s="51" t="s">
        <v>42</v>
      </c>
      <c r="F17" s="31" t="s">
        <v>20</v>
      </c>
      <c r="G17" s="49">
        <f t="shared" si="4"/>
        <v>0</v>
      </c>
      <c r="H17" s="50">
        <f t="shared" si="5"/>
        <v>0</v>
      </c>
      <c r="I17" s="41"/>
      <c r="J17" s="41"/>
      <c r="K17" s="41"/>
      <c r="L17" s="41" t="s">
        <v>21</v>
      </c>
      <c r="M17" s="41"/>
      <c r="N17" s="40" t="s">
        <v>21</v>
      </c>
      <c r="O17" s="40" t="s">
        <v>21</v>
      </c>
      <c r="P17" s="42"/>
      <c r="Q17" s="41"/>
      <c r="R17" s="23"/>
    </row>
    <row r="18" spans="1:18" ht="15" thickBot="1" x14ac:dyDescent="0.35">
      <c r="A18" s="23"/>
      <c r="B18" s="9" t="s">
        <v>263</v>
      </c>
      <c r="C18" s="15" t="s">
        <v>290</v>
      </c>
      <c r="D18" s="4" t="s">
        <v>32</v>
      </c>
      <c r="E18" s="4" t="s">
        <v>42</v>
      </c>
      <c r="F18" s="31" t="s">
        <v>20</v>
      </c>
      <c r="G18" s="49">
        <f t="shared" si="4"/>
        <v>0</v>
      </c>
      <c r="H18" s="50">
        <f t="shared" si="5"/>
        <v>0</v>
      </c>
      <c r="I18" s="41"/>
      <c r="J18" s="41"/>
      <c r="K18" s="41"/>
      <c r="L18" s="41"/>
      <c r="M18" s="41"/>
      <c r="N18" s="40" t="s">
        <v>21</v>
      </c>
      <c r="O18" s="40" t="s">
        <v>21</v>
      </c>
      <c r="P18" s="42" t="s">
        <v>21</v>
      </c>
      <c r="Q18" s="41"/>
      <c r="R18" s="23"/>
    </row>
    <row r="19" spans="1:18" x14ac:dyDescent="0.3">
      <c r="A19" s="30"/>
      <c r="B19" s="1" t="s">
        <v>55</v>
      </c>
      <c r="C19" s="13"/>
      <c r="D19" s="13"/>
      <c r="E19" s="90"/>
      <c r="F19" s="22"/>
      <c r="G19" s="22"/>
      <c r="H19" s="22"/>
      <c r="I19" s="41"/>
      <c r="J19" s="41"/>
      <c r="K19" s="41"/>
      <c r="L19" s="41"/>
      <c r="M19" s="41"/>
      <c r="N19" s="40"/>
      <c r="O19" s="40"/>
      <c r="P19" s="42"/>
      <c r="Q19" s="41"/>
      <c r="R19" s="23"/>
    </row>
    <row r="20" spans="1:18" x14ac:dyDescent="0.3">
      <c r="A20" s="80" t="s">
        <v>56</v>
      </c>
      <c r="B20" s="9" t="s">
        <v>57</v>
      </c>
      <c r="C20" s="15" t="s">
        <v>291</v>
      </c>
      <c r="D20" s="3" t="s">
        <v>26</v>
      </c>
      <c r="E20" s="3" t="s">
        <v>42</v>
      </c>
      <c r="F20" s="31" t="s">
        <v>20</v>
      </c>
      <c r="G20" s="49">
        <f t="shared" ref="G20:G22" si="6">VALUE(IF(F20&lt;&gt;"-",MID($F20,1,1),0))</f>
        <v>0</v>
      </c>
      <c r="H20" s="50">
        <f t="shared" ref="H20:H22" si="7">VALUE(IF(F20&lt;&gt;"-",MID(F20,1,1)*MID($F20,1,1),0))</f>
        <v>0</v>
      </c>
      <c r="I20" s="41"/>
      <c r="J20" s="41"/>
      <c r="K20" s="41"/>
      <c r="L20" s="41" t="s">
        <v>21</v>
      </c>
      <c r="M20" s="41"/>
      <c r="N20" s="40" t="s">
        <v>21</v>
      </c>
      <c r="O20" s="40" t="s">
        <v>21</v>
      </c>
      <c r="P20" s="42"/>
      <c r="Q20" s="41"/>
      <c r="R20" s="23"/>
    </row>
    <row r="21" spans="1:18" x14ac:dyDescent="0.3">
      <c r="A21" s="80" t="s">
        <v>58</v>
      </c>
      <c r="B21" s="72" t="s">
        <v>59</v>
      </c>
      <c r="C21" s="15" t="s">
        <v>60</v>
      </c>
      <c r="D21" s="4" t="s">
        <v>26</v>
      </c>
      <c r="E21" s="4" t="s">
        <v>61</v>
      </c>
      <c r="F21" s="31" t="s">
        <v>20</v>
      </c>
      <c r="G21" s="49">
        <f t="shared" si="6"/>
        <v>0</v>
      </c>
      <c r="H21" s="50">
        <f t="shared" si="7"/>
        <v>0</v>
      </c>
      <c r="I21" s="41"/>
      <c r="J21" s="41"/>
      <c r="K21" s="41" t="s">
        <v>21</v>
      </c>
      <c r="L21" s="41" t="s">
        <v>21</v>
      </c>
      <c r="M21" s="41"/>
      <c r="N21" s="40" t="s">
        <v>21</v>
      </c>
      <c r="O21" s="40"/>
      <c r="P21" s="42"/>
      <c r="Q21" s="41"/>
      <c r="R21" s="23"/>
    </row>
    <row r="22" spans="1:18" ht="15" thickBot="1" x14ac:dyDescent="0.35">
      <c r="A22" s="80" t="s">
        <v>62</v>
      </c>
      <c r="B22" s="98" t="s">
        <v>270</v>
      </c>
      <c r="C22" s="15" t="s">
        <v>63</v>
      </c>
      <c r="D22" s="4" t="s">
        <v>26</v>
      </c>
      <c r="E22" s="4" t="s">
        <v>42</v>
      </c>
      <c r="F22" s="31" t="s">
        <v>20</v>
      </c>
      <c r="G22" s="49">
        <f t="shared" si="6"/>
        <v>0</v>
      </c>
      <c r="H22" s="50">
        <f t="shared" si="7"/>
        <v>0</v>
      </c>
      <c r="I22" s="41" t="s">
        <v>21</v>
      </c>
      <c r="J22" s="41"/>
      <c r="K22" s="41"/>
      <c r="L22" s="41"/>
      <c r="M22" s="41"/>
      <c r="N22" s="40"/>
      <c r="O22" s="40" t="s">
        <v>21</v>
      </c>
      <c r="P22" s="42" t="s">
        <v>21</v>
      </c>
      <c r="Q22" s="41"/>
      <c r="R22" s="23"/>
    </row>
    <row r="23" spans="1:18" x14ac:dyDescent="0.3">
      <c r="A23" s="30"/>
      <c r="B23" s="1" t="s">
        <v>64</v>
      </c>
      <c r="C23" s="13"/>
      <c r="D23" s="13"/>
      <c r="E23" s="90"/>
      <c r="F23" s="22"/>
      <c r="G23" s="22"/>
      <c r="H23" s="22"/>
      <c r="I23" s="41"/>
      <c r="J23" s="41"/>
      <c r="K23" s="41"/>
      <c r="L23" s="41"/>
      <c r="M23" s="41"/>
      <c r="N23" s="40"/>
      <c r="O23" s="40"/>
      <c r="P23" s="42"/>
      <c r="Q23" s="41"/>
      <c r="R23" s="23"/>
    </row>
    <row r="24" spans="1:18" ht="28.8" x14ac:dyDescent="0.3">
      <c r="A24" s="80" t="s">
        <v>65</v>
      </c>
      <c r="B24" s="12" t="s">
        <v>335</v>
      </c>
      <c r="C24" s="15" t="s">
        <v>292</v>
      </c>
      <c r="D24" s="4" t="s">
        <v>26</v>
      </c>
      <c r="E24" s="3" t="s">
        <v>19</v>
      </c>
      <c r="F24" s="31" t="s">
        <v>20</v>
      </c>
      <c r="G24" s="49">
        <f t="shared" ref="G24:G27" si="8">VALUE(IF(F24&lt;&gt;"-",MID($F24,1,1),0))</f>
        <v>0</v>
      </c>
      <c r="H24" s="50">
        <f t="shared" ref="H24:H27" si="9">VALUE(IF(F24&lt;&gt;"-",MID(F24,1,1)*MID($F24,1,1),0))</f>
        <v>0</v>
      </c>
      <c r="I24" s="41"/>
      <c r="J24" s="41"/>
      <c r="K24" s="41"/>
      <c r="L24" s="41" t="s">
        <v>21</v>
      </c>
      <c r="M24" s="41"/>
      <c r="N24" s="40" t="s">
        <v>21</v>
      </c>
      <c r="O24" s="40"/>
      <c r="P24" s="42"/>
      <c r="Q24" s="45" t="s">
        <v>21</v>
      </c>
      <c r="R24" s="23"/>
    </row>
    <row r="25" spans="1:18" x14ac:dyDescent="0.3">
      <c r="A25" s="80" t="s">
        <v>66</v>
      </c>
      <c r="B25" s="9" t="s">
        <v>67</v>
      </c>
      <c r="C25" s="15" t="s">
        <v>293</v>
      </c>
      <c r="D25" s="4" t="s">
        <v>32</v>
      </c>
      <c r="E25" s="4" t="s">
        <v>42</v>
      </c>
      <c r="F25" s="31" t="s">
        <v>20</v>
      </c>
      <c r="G25" s="49">
        <f t="shared" si="8"/>
        <v>0</v>
      </c>
      <c r="H25" s="50">
        <f t="shared" si="9"/>
        <v>0</v>
      </c>
      <c r="I25" s="41"/>
      <c r="J25" s="41" t="s">
        <v>21</v>
      </c>
      <c r="K25" s="41"/>
      <c r="L25" s="41" t="s">
        <v>21</v>
      </c>
      <c r="M25" s="41"/>
      <c r="N25" s="40" t="s">
        <v>21</v>
      </c>
      <c r="O25" s="40"/>
      <c r="P25" s="42"/>
      <c r="Q25" s="41"/>
      <c r="R25" s="23"/>
    </row>
    <row r="26" spans="1:18" x14ac:dyDescent="0.3">
      <c r="A26" s="80" t="s">
        <v>68</v>
      </c>
      <c r="B26" s="9" t="s">
        <v>69</v>
      </c>
      <c r="C26" s="15" t="s">
        <v>70</v>
      </c>
      <c r="D26" s="4" t="s">
        <v>26</v>
      </c>
      <c r="E26" s="4" t="s">
        <v>45</v>
      </c>
      <c r="F26" s="31" t="s">
        <v>20</v>
      </c>
      <c r="G26" s="49">
        <f t="shared" si="8"/>
        <v>0</v>
      </c>
      <c r="H26" s="50">
        <f t="shared" si="9"/>
        <v>0</v>
      </c>
      <c r="I26" s="41"/>
      <c r="J26" s="41"/>
      <c r="K26" s="41"/>
      <c r="L26" s="41"/>
      <c r="M26" s="41"/>
      <c r="N26" s="40"/>
      <c r="O26" s="40"/>
      <c r="P26" s="42"/>
      <c r="Q26" s="41"/>
      <c r="R26" s="23"/>
    </row>
    <row r="27" spans="1:18" ht="15" thickBot="1" x14ac:dyDescent="0.35">
      <c r="A27" s="80" t="s">
        <v>71</v>
      </c>
      <c r="B27" s="9" t="s">
        <v>72</v>
      </c>
      <c r="C27" s="15" t="s">
        <v>73</v>
      </c>
      <c r="D27" s="4" t="s">
        <v>26</v>
      </c>
      <c r="E27" s="4" t="s">
        <v>19</v>
      </c>
      <c r="F27" s="87" t="s">
        <v>20</v>
      </c>
      <c r="G27" s="49">
        <f t="shared" si="8"/>
        <v>0</v>
      </c>
      <c r="H27" s="50">
        <f t="shared" si="9"/>
        <v>0</v>
      </c>
      <c r="I27" s="41"/>
      <c r="J27" s="41"/>
      <c r="K27" s="41"/>
      <c r="L27" s="41"/>
      <c r="M27" s="41"/>
      <c r="N27" s="40" t="s">
        <v>21</v>
      </c>
      <c r="O27" s="40" t="s">
        <v>21</v>
      </c>
      <c r="P27" s="42" t="s">
        <v>21</v>
      </c>
      <c r="Q27" s="41"/>
      <c r="R27" s="23"/>
    </row>
    <row r="28" spans="1:18" x14ac:dyDescent="0.3">
      <c r="A28" s="23"/>
      <c r="B28" s="1" t="s">
        <v>74</v>
      </c>
      <c r="C28" s="13"/>
      <c r="D28" s="13"/>
      <c r="E28" s="90"/>
      <c r="F28" s="22"/>
      <c r="G28" s="22"/>
      <c r="H28" s="22"/>
      <c r="I28" s="41"/>
      <c r="J28" s="41"/>
      <c r="K28" s="41"/>
      <c r="L28" s="41"/>
      <c r="M28" s="41"/>
      <c r="N28" s="40"/>
      <c r="O28" s="40"/>
      <c r="P28" s="42"/>
      <c r="Q28" s="41"/>
      <c r="R28" s="23"/>
    </row>
    <row r="29" spans="1:18" ht="28.8" x14ac:dyDescent="0.3">
      <c r="A29" s="80" t="s">
        <v>75</v>
      </c>
      <c r="B29" s="71" t="s">
        <v>246</v>
      </c>
      <c r="C29" s="15" t="s">
        <v>76</v>
      </c>
      <c r="D29" s="3" t="s">
        <v>18</v>
      </c>
      <c r="E29" s="3" t="s">
        <v>27</v>
      </c>
      <c r="F29" s="31" t="s">
        <v>20</v>
      </c>
      <c r="G29" s="49">
        <f t="shared" ref="G29" si="10">VALUE(IF(F29&lt;&gt;"-",MID($F29,1,1),0))</f>
        <v>0</v>
      </c>
      <c r="H29" s="50">
        <f t="shared" ref="H29" si="11">VALUE(IF(F29&lt;&gt;"-",MID(F29,1,1)*MID($F29,1,1),0))</f>
        <v>0</v>
      </c>
      <c r="I29" s="41" t="s">
        <v>21</v>
      </c>
      <c r="J29" s="41"/>
      <c r="K29" s="41"/>
      <c r="L29" s="41"/>
      <c r="M29" s="41"/>
      <c r="N29" s="40"/>
      <c r="O29" s="40" t="s">
        <v>21</v>
      </c>
      <c r="P29" s="42" t="s">
        <v>21</v>
      </c>
      <c r="Q29" s="41"/>
      <c r="R29" s="23"/>
    </row>
    <row r="30" spans="1:18" ht="28.8" x14ac:dyDescent="0.3">
      <c r="A30" s="80" t="s">
        <v>77</v>
      </c>
      <c r="B30" s="99" t="s">
        <v>247</v>
      </c>
      <c r="C30" s="15" t="s">
        <v>78</v>
      </c>
      <c r="D30" s="4" t="s">
        <v>26</v>
      </c>
      <c r="E30" s="4" t="s">
        <v>19</v>
      </c>
      <c r="F30" s="31" t="s">
        <v>20</v>
      </c>
      <c r="G30" s="49">
        <f t="shared" ref="G30:G32" si="12">VALUE(IF(F30&lt;&gt;"-",MID($F30,1,1),0))</f>
        <v>0</v>
      </c>
      <c r="H30" s="50">
        <f t="shared" ref="H30:H32" si="13">VALUE(IF(F30&lt;&gt;"-",MID(F30,1,1)*MID($F30,1,1),0))</f>
        <v>0</v>
      </c>
      <c r="I30" s="41" t="s">
        <v>21</v>
      </c>
      <c r="J30" s="41"/>
      <c r="K30" s="41"/>
      <c r="L30" s="41" t="s">
        <v>21</v>
      </c>
      <c r="M30" s="41"/>
      <c r="N30" s="40" t="s">
        <v>21</v>
      </c>
      <c r="O30" s="40" t="s">
        <v>21</v>
      </c>
      <c r="P30" s="42"/>
      <c r="Q30" s="41"/>
      <c r="R30" s="23"/>
    </row>
    <row r="31" spans="1:18" x14ac:dyDescent="0.3">
      <c r="A31" s="80"/>
      <c r="B31" s="98" t="s">
        <v>79</v>
      </c>
      <c r="C31" s="15" t="s">
        <v>80</v>
      </c>
      <c r="D31" s="4" t="s">
        <v>32</v>
      </c>
      <c r="E31" s="4" t="s">
        <v>19</v>
      </c>
      <c r="F31" s="31" t="s">
        <v>20</v>
      </c>
      <c r="G31" s="49">
        <f t="shared" si="12"/>
        <v>0</v>
      </c>
      <c r="H31" s="50">
        <f t="shared" si="13"/>
        <v>0</v>
      </c>
      <c r="I31" s="41"/>
      <c r="J31" s="41"/>
      <c r="K31" s="41"/>
      <c r="L31" s="41" t="s">
        <v>21</v>
      </c>
      <c r="M31" s="41"/>
      <c r="N31" s="40" t="s">
        <v>21</v>
      </c>
      <c r="O31" s="40" t="s">
        <v>21</v>
      </c>
      <c r="P31" s="42"/>
      <c r="Q31" s="41"/>
      <c r="R31" s="23"/>
    </row>
    <row r="32" spans="1:18" x14ac:dyDescent="0.3">
      <c r="A32" s="80"/>
      <c r="B32" s="72" t="s">
        <v>248</v>
      </c>
      <c r="C32" s="15" t="s">
        <v>81</v>
      </c>
      <c r="D32" s="4" t="s">
        <v>26</v>
      </c>
      <c r="E32" s="4" t="s">
        <v>19</v>
      </c>
      <c r="F32" s="31" t="s">
        <v>20</v>
      </c>
      <c r="G32" s="49">
        <f t="shared" si="12"/>
        <v>0</v>
      </c>
      <c r="H32" s="50">
        <f t="shared" si="13"/>
        <v>0</v>
      </c>
      <c r="I32" s="41"/>
      <c r="J32" s="41"/>
      <c r="K32" s="41"/>
      <c r="L32" s="41" t="s">
        <v>21</v>
      </c>
      <c r="M32" s="41" t="s">
        <v>21</v>
      </c>
      <c r="N32" s="40"/>
      <c r="O32" s="40"/>
      <c r="P32" s="42"/>
      <c r="Q32" s="41"/>
      <c r="R32" s="23"/>
    </row>
    <row r="33" spans="1:18" ht="15" customHeight="1" x14ac:dyDescent="0.3">
      <c r="A33" s="82" t="s">
        <v>82</v>
      </c>
      <c r="B33" s="100" t="s">
        <v>271</v>
      </c>
      <c r="C33" s="19" t="s">
        <v>294</v>
      </c>
      <c r="D33" s="4" t="s">
        <v>18</v>
      </c>
      <c r="E33" s="51" t="s">
        <v>42</v>
      </c>
      <c r="F33" s="31" t="s">
        <v>20</v>
      </c>
      <c r="G33" s="49">
        <f t="shared" ref="G33:G37" si="14">VALUE(IF(F33&lt;&gt;"-",MID($F33,1,1),0))</f>
        <v>0</v>
      </c>
      <c r="H33" s="50">
        <f t="shared" ref="H33:H37" si="15">VALUE(IF(F33&lt;&gt;"-",MID(F33,1,1)*MID($F33,1,1),0))</f>
        <v>0</v>
      </c>
      <c r="I33" s="41"/>
      <c r="J33" s="41"/>
      <c r="K33" s="41"/>
      <c r="L33" s="41" t="s">
        <v>21</v>
      </c>
      <c r="M33" s="41"/>
      <c r="N33" s="40" t="s">
        <v>21</v>
      </c>
      <c r="O33" s="40"/>
      <c r="P33" s="42" t="s">
        <v>21</v>
      </c>
      <c r="Q33" s="41"/>
      <c r="R33" s="23"/>
    </row>
    <row r="34" spans="1:18" x14ac:dyDescent="0.3">
      <c r="A34" s="82"/>
      <c r="B34" s="9" t="s">
        <v>83</v>
      </c>
      <c r="C34" s="17" t="s">
        <v>84</v>
      </c>
      <c r="D34" s="4" t="s">
        <v>18</v>
      </c>
      <c r="E34" s="4" t="s">
        <v>19</v>
      </c>
      <c r="F34" s="31" t="s">
        <v>20</v>
      </c>
      <c r="G34" s="49">
        <f t="shared" si="14"/>
        <v>0</v>
      </c>
      <c r="H34" s="50">
        <f t="shared" si="15"/>
        <v>0</v>
      </c>
      <c r="I34" s="41" t="s">
        <v>21</v>
      </c>
      <c r="J34" s="41"/>
      <c r="K34" s="41"/>
      <c r="L34" s="41" t="s">
        <v>21</v>
      </c>
      <c r="M34" s="41"/>
      <c r="N34" s="40"/>
      <c r="O34" s="40" t="s">
        <v>21</v>
      </c>
      <c r="P34" s="42"/>
      <c r="Q34" s="41"/>
      <c r="R34" s="23"/>
    </row>
    <row r="35" spans="1:18" x14ac:dyDescent="0.3">
      <c r="A35" s="82"/>
      <c r="B35" s="12" t="s">
        <v>249</v>
      </c>
      <c r="C35" s="17" t="s">
        <v>295</v>
      </c>
      <c r="D35" s="4" t="s">
        <v>18</v>
      </c>
      <c r="E35" s="3" t="s">
        <v>85</v>
      </c>
      <c r="F35" s="31" t="s">
        <v>20</v>
      </c>
      <c r="G35" s="49">
        <f t="shared" si="14"/>
        <v>0</v>
      </c>
      <c r="H35" s="50">
        <f t="shared" si="15"/>
        <v>0</v>
      </c>
      <c r="I35" s="41"/>
      <c r="J35" s="41"/>
      <c r="K35" s="41" t="s">
        <v>21</v>
      </c>
      <c r="L35" s="41"/>
      <c r="M35" s="41"/>
      <c r="N35" s="40"/>
      <c r="O35" s="40" t="s">
        <v>21</v>
      </c>
      <c r="P35" s="42"/>
      <c r="Q35" s="45" t="s">
        <v>21</v>
      </c>
      <c r="R35" s="23"/>
    </row>
    <row r="36" spans="1:18" x14ac:dyDescent="0.3">
      <c r="A36" s="82"/>
      <c r="B36" s="12" t="s">
        <v>250</v>
      </c>
      <c r="C36" s="17" t="s">
        <v>251</v>
      </c>
      <c r="D36" s="4" t="s">
        <v>32</v>
      </c>
      <c r="E36" s="4" t="s">
        <v>27</v>
      </c>
      <c r="F36" s="31" t="s">
        <v>20</v>
      </c>
      <c r="G36" s="49">
        <f t="shared" si="14"/>
        <v>0</v>
      </c>
      <c r="H36" s="50">
        <f t="shared" si="15"/>
        <v>0</v>
      </c>
      <c r="I36" s="41" t="s">
        <v>21</v>
      </c>
      <c r="J36" s="41"/>
      <c r="K36" s="41"/>
      <c r="L36" s="41"/>
      <c r="M36" s="41"/>
      <c r="N36" s="40"/>
      <c r="O36" s="40" t="s">
        <v>21</v>
      </c>
      <c r="P36" s="42" t="s">
        <v>21</v>
      </c>
      <c r="Q36" s="41"/>
      <c r="R36" s="23"/>
    </row>
    <row r="37" spans="1:18" ht="15" thickBot="1" x14ac:dyDescent="0.35">
      <c r="A37" s="82"/>
      <c r="B37" s="115" t="s">
        <v>264</v>
      </c>
      <c r="C37" s="18" t="s">
        <v>86</v>
      </c>
      <c r="D37" s="5" t="s">
        <v>18</v>
      </c>
      <c r="E37" s="4" t="s">
        <v>27</v>
      </c>
      <c r="F37" s="31" t="s">
        <v>20</v>
      </c>
      <c r="G37" s="49">
        <f t="shared" si="14"/>
        <v>0</v>
      </c>
      <c r="H37" s="50">
        <f t="shared" si="15"/>
        <v>0</v>
      </c>
      <c r="I37" s="41" t="s">
        <v>21</v>
      </c>
      <c r="J37" s="41"/>
      <c r="K37" s="41"/>
      <c r="L37" s="41"/>
      <c r="M37" s="41"/>
      <c r="N37" s="40"/>
      <c r="O37" s="40"/>
      <c r="P37" s="42" t="s">
        <v>21</v>
      </c>
      <c r="Q37" s="41"/>
      <c r="R37" s="23"/>
    </row>
    <row r="38" spans="1:18" x14ac:dyDescent="0.3">
      <c r="A38" s="23"/>
      <c r="B38" s="1" t="s">
        <v>87</v>
      </c>
      <c r="C38" s="13"/>
      <c r="D38" s="13"/>
      <c r="E38" s="90"/>
      <c r="F38" s="22"/>
      <c r="G38" s="22"/>
      <c r="H38" s="22"/>
      <c r="I38" s="41"/>
      <c r="J38" s="41"/>
      <c r="K38" s="41"/>
      <c r="L38" s="41"/>
      <c r="M38" s="41"/>
      <c r="N38" s="40"/>
      <c r="O38" s="40"/>
      <c r="P38" s="42"/>
      <c r="Q38" s="41"/>
      <c r="R38" s="23"/>
    </row>
    <row r="39" spans="1:18" x14ac:dyDescent="0.3">
      <c r="A39" s="23"/>
      <c r="B39" s="100" t="s">
        <v>272</v>
      </c>
      <c r="C39" s="17" t="s">
        <v>88</v>
      </c>
      <c r="D39" s="3" t="s">
        <v>32</v>
      </c>
      <c r="E39" s="3" t="s">
        <v>85</v>
      </c>
      <c r="F39" s="31" t="s">
        <v>20</v>
      </c>
      <c r="G39" s="49">
        <f t="shared" ref="G39:G45" si="16">VALUE(IF(F39&lt;&gt;"-",MID($F39,1,1),0))</f>
        <v>0</v>
      </c>
      <c r="H39" s="50">
        <f t="shared" ref="H39:H45" si="17">VALUE(IF(F39&lt;&gt;"-",MID(F39,1,1)*MID($F39,1,1),0))</f>
        <v>0</v>
      </c>
      <c r="I39" s="41" t="s">
        <v>21</v>
      </c>
      <c r="J39" s="41"/>
      <c r="K39" s="41"/>
      <c r="L39" s="41"/>
      <c r="M39" s="41"/>
      <c r="N39" s="40"/>
      <c r="O39" s="40" t="s">
        <v>21</v>
      </c>
      <c r="P39" s="42"/>
      <c r="Q39" s="41"/>
      <c r="R39" s="23"/>
    </row>
    <row r="40" spans="1:18" x14ac:dyDescent="0.3">
      <c r="A40" s="23"/>
      <c r="B40" s="100" t="s">
        <v>273</v>
      </c>
      <c r="C40" s="16" t="s">
        <v>89</v>
      </c>
      <c r="D40" s="3" t="s">
        <v>26</v>
      </c>
      <c r="E40" s="4" t="s">
        <v>19</v>
      </c>
      <c r="F40" s="87" t="s">
        <v>20</v>
      </c>
      <c r="G40" s="49">
        <f>VALUE(IF(F40&lt;&gt;"-",MID($F40,1,1),0))</f>
        <v>0</v>
      </c>
      <c r="H40" s="50">
        <f>VALUE(IF(F40&lt;&gt;"-",MID(F40,1,1)*MID($F40,1,1),0))</f>
        <v>0</v>
      </c>
      <c r="I40" s="41" t="s">
        <v>21</v>
      </c>
      <c r="J40" s="41"/>
      <c r="K40" s="41"/>
      <c r="L40" s="41"/>
      <c r="M40" s="41"/>
      <c r="N40" s="40"/>
      <c r="O40" s="40" t="s">
        <v>21</v>
      </c>
      <c r="P40" s="42" t="s">
        <v>21</v>
      </c>
      <c r="Q40" s="41"/>
      <c r="R40" s="23"/>
    </row>
    <row r="41" spans="1:18" ht="28.8" x14ac:dyDescent="0.3">
      <c r="A41" s="23"/>
      <c r="B41" s="100" t="s">
        <v>276</v>
      </c>
      <c r="C41" s="17" t="s">
        <v>296</v>
      </c>
      <c r="D41" s="4" t="s">
        <v>18</v>
      </c>
      <c r="E41" s="4" t="s">
        <v>19</v>
      </c>
      <c r="F41" s="31" t="s">
        <v>20</v>
      </c>
      <c r="G41" s="49">
        <f t="shared" si="16"/>
        <v>0</v>
      </c>
      <c r="H41" s="50">
        <f t="shared" si="17"/>
        <v>0</v>
      </c>
      <c r="I41" s="41" t="s">
        <v>21</v>
      </c>
      <c r="J41" s="41"/>
      <c r="K41" s="41"/>
      <c r="L41" s="41"/>
      <c r="M41" s="41"/>
      <c r="N41" s="40" t="s">
        <v>21</v>
      </c>
      <c r="O41" s="40" t="s">
        <v>21</v>
      </c>
      <c r="P41" s="42" t="s">
        <v>21</v>
      </c>
      <c r="Q41" s="41"/>
      <c r="R41" s="23"/>
    </row>
    <row r="42" spans="1:18" ht="28.8" x14ac:dyDescent="0.3">
      <c r="A42" s="23"/>
      <c r="B42" s="100" t="s">
        <v>275</v>
      </c>
      <c r="C42" s="103" t="s">
        <v>296</v>
      </c>
      <c r="D42" s="4" t="s">
        <v>18</v>
      </c>
      <c r="E42" s="4"/>
      <c r="F42" s="31"/>
      <c r="G42" s="49"/>
      <c r="H42" s="50"/>
      <c r="I42" s="41"/>
      <c r="J42" s="41"/>
      <c r="K42" s="41"/>
      <c r="L42" s="41"/>
      <c r="M42" s="41"/>
      <c r="N42" s="40"/>
      <c r="O42" s="40"/>
      <c r="P42" s="42"/>
      <c r="Q42" s="41"/>
      <c r="R42" s="23"/>
    </row>
    <row r="43" spans="1:18" ht="28.8" x14ac:dyDescent="0.3">
      <c r="A43" s="23"/>
      <c r="B43" s="100" t="s">
        <v>274</v>
      </c>
      <c r="C43" s="103" t="s">
        <v>296</v>
      </c>
      <c r="D43" s="4" t="s">
        <v>18</v>
      </c>
      <c r="E43" s="4"/>
      <c r="F43" s="31"/>
      <c r="G43" s="49"/>
      <c r="H43" s="50"/>
      <c r="I43" s="41"/>
      <c r="J43" s="41"/>
      <c r="K43" s="41"/>
      <c r="L43" s="41"/>
      <c r="M43" s="41"/>
      <c r="N43" s="40"/>
      <c r="O43" s="40"/>
      <c r="P43" s="42"/>
      <c r="Q43" s="41"/>
      <c r="R43" s="23"/>
    </row>
    <row r="44" spans="1:18" x14ac:dyDescent="0.3">
      <c r="A44" s="23"/>
      <c r="B44" s="12" t="s">
        <v>90</v>
      </c>
      <c r="D44" s="4" t="s">
        <v>32</v>
      </c>
      <c r="E44" s="4" t="s">
        <v>19</v>
      </c>
      <c r="F44" s="31" t="s">
        <v>20</v>
      </c>
      <c r="G44" s="49">
        <f t="shared" si="16"/>
        <v>0</v>
      </c>
      <c r="H44" s="50">
        <f t="shared" si="17"/>
        <v>0</v>
      </c>
      <c r="I44" s="41" t="s">
        <v>21</v>
      </c>
      <c r="J44" s="41"/>
      <c r="K44" s="41" t="s">
        <v>21</v>
      </c>
      <c r="L44" s="41" t="s">
        <v>21</v>
      </c>
      <c r="M44" s="41" t="s">
        <v>21</v>
      </c>
      <c r="N44" s="40" t="s">
        <v>21</v>
      </c>
      <c r="O44" s="40"/>
      <c r="P44" s="42"/>
      <c r="Q44" s="41"/>
      <c r="R44" s="23"/>
    </row>
    <row r="45" spans="1:18" ht="29.4" thickBot="1" x14ac:dyDescent="0.35">
      <c r="A45" s="23"/>
      <c r="B45" s="12" t="s">
        <v>252</v>
      </c>
      <c r="C45" s="25" t="s">
        <v>91</v>
      </c>
      <c r="D45" s="4" t="s">
        <v>26</v>
      </c>
      <c r="E45" s="51" t="s">
        <v>27</v>
      </c>
      <c r="F45" s="31" t="s">
        <v>20</v>
      </c>
      <c r="G45" s="49">
        <f t="shared" si="16"/>
        <v>0</v>
      </c>
      <c r="H45" s="50">
        <f t="shared" si="17"/>
        <v>0</v>
      </c>
      <c r="I45" s="41"/>
      <c r="J45" s="41"/>
      <c r="K45" s="41"/>
      <c r="L45" s="41" t="s">
        <v>21</v>
      </c>
      <c r="M45" s="41"/>
      <c r="N45" s="40" t="s">
        <v>21</v>
      </c>
      <c r="O45" s="40"/>
      <c r="P45" s="42" t="s">
        <v>21</v>
      </c>
      <c r="Q45" s="41"/>
      <c r="R45" s="23"/>
    </row>
    <row r="46" spans="1:18" ht="15" customHeight="1" x14ac:dyDescent="0.3">
      <c r="A46" s="23"/>
      <c r="B46" s="1" t="s">
        <v>261</v>
      </c>
      <c r="C46" s="13"/>
      <c r="D46" s="13"/>
      <c r="E46" s="4"/>
      <c r="F46" s="22"/>
      <c r="G46" s="22"/>
      <c r="H46" s="22"/>
      <c r="I46" s="41"/>
      <c r="J46" s="41"/>
      <c r="K46" s="41"/>
      <c r="L46" s="41"/>
      <c r="M46" s="41"/>
      <c r="N46" s="40"/>
      <c r="O46" s="40"/>
      <c r="P46" s="42"/>
      <c r="Q46" s="41"/>
      <c r="R46" s="23"/>
    </row>
    <row r="47" spans="1:18" ht="28.8" x14ac:dyDescent="0.3">
      <c r="A47" s="80" t="s">
        <v>92</v>
      </c>
      <c r="B47" s="100" t="s">
        <v>265</v>
      </c>
      <c r="C47" s="16" t="s">
        <v>93</v>
      </c>
      <c r="D47" s="4" t="s">
        <v>18</v>
      </c>
      <c r="E47" s="3" t="s">
        <v>19</v>
      </c>
      <c r="F47" s="87" t="s">
        <v>20</v>
      </c>
      <c r="G47" s="49">
        <f t="shared" ref="G47" si="18">VALUE(IF(F47&lt;&gt;"-",MID($F47,1,1),0))</f>
        <v>0</v>
      </c>
      <c r="H47" s="50">
        <f t="shared" ref="H47" si="19">VALUE(IF(F47&lt;&gt;"-",MID(F47,1,1)*MID($F47,1,1),0))</f>
        <v>0</v>
      </c>
      <c r="I47" s="41"/>
      <c r="J47" s="41"/>
      <c r="K47" s="41" t="s">
        <v>21</v>
      </c>
      <c r="L47" s="41" t="s">
        <v>21</v>
      </c>
      <c r="M47" s="41"/>
      <c r="N47" s="40" t="s">
        <v>21</v>
      </c>
      <c r="O47" s="40"/>
      <c r="P47" s="42"/>
      <c r="Q47" s="41"/>
      <c r="R47" s="23"/>
    </row>
    <row r="48" spans="1:18" x14ac:dyDescent="0.3">
      <c r="A48" s="82" t="s">
        <v>94</v>
      </c>
      <c r="B48" s="12" t="s">
        <v>297</v>
      </c>
      <c r="C48" s="17" t="s">
        <v>95</v>
      </c>
      <c r="D48" s="4" t="s">
        <v>26</v>
      </c>
      <c r="E48" s="4" t="s">
        <v>27</v>
      </c>
      <c r="F48" s="31" t="s">
        <v>20</v>
      </c>
      <c r="G48" s="49">
        <f t="shared" ref="G48:G56" si="20">VALUE(IF(F48&lt;&gt;"-",MID($F48,1,1),0))</f>
        <v>0</v>
      </c>
      <c r="H48" s="50">
        <f t="shared" ref="H48:H56" si="21">VALUE(IF(F48&lt;&gt;"-",MID(F48,1,1)*MID($F48,1,1),0))</f>
        <v>0</v>
      </c>
      <c r="I48" s="41" t="s">
        <v>21</v>
      </c>
      <c r="J48" s="41"/>
      <c r="K48" s="41"/>
      <c r="L48" s="41"/>
      <c r="M48" s="41"/>
      <c r="N48" s="40" t="s">
        <v>21</v>
      </c>
      <c r="O48" s="40"/>
      <c r="P48" s="42" t="s">
        <v>21</v>
      </c>
      <c r="Q48" s="41"/>
      <c r="R48" s="23"/>
    </row>
    <row r="49" spans="1:18" x14ac:dyDescent="0.3">
      <c r="A49" s="82"/>
      <c r="B49" s="12" t="s">
        <v>336</v>
      </c>
      <c r="C49" s="17" t="s">
        <v>298</v>
      </c>
      <c r="D49" s="4" t="s">
        <v>26</v>
      </c>
      <c r="E49" s="4" t="s">
        <v>19</v>
      </c>
      <c r="F49" s="87" t="s">
        <v>20</v>
      </c>
      <c r="G49" s="49">
        <f t="shared" si="20"/>
        <v>0</v>
      </c>
      <c r="H49" s="50">
        <f t="shared" si="21"/>
        <v>0</v>
      </c>
      <c r="I49" s="41"/>
      <c r="J49" s="41"/>
      <c r="K49" s="41" t="s">
        <v>21</v>
      </c>
      <c r="L49" s="41"/>
      <c r="M49" s="41"/>
      <c r="N49" s="40" t="s">
        <v>21</v>
      </c>
      <c r="O49" s="40"/>
      <c r="P49" s="42" t="s">
        <v>21</v>
      </c>
      <c r="Q49" s="41"/>
      <c r="R49" s="23"/>
    </row>
    <row r="50" spans="1:18" x14ac:dyDescent="0.3">
      <c r="A50" s="82"/>
      <c r="B50" s="12" t="s">
        <v>96</v>
      </c>
      <c r="C50" s="17" t="s">
        <v>97</v>
      </c>
      <c r="D50" s="4" t="s">
        <v>18</v>
      </c>
      <c r="E50" s="4" t="s">
        <v>27</v>
      </c>
      <c r="F50" s="31" t="s">
        <v>20</v>
      </c>
      <c r="G50" s="49">
        <f t="shared" si="20"/>
        <v>0</v>
      </c>
      <c r="H50" s="50">
        <f t="shared" si="21"/>
        <v>0</v>
      </c>
      <c r="I50" s="41" t="s">
        <v>21</v>
      </c>
      <c r="J50" s="41"/>
      <c r="K50" s="41"/>
      <c r="L50" s="41"/>
      <c r="M50" s="41"/>
      <c r="N50" s="40" t="s">
        <v>21</v>
      </c>
      <c r="O50" s="40"/>
      <c r="P50" s="42" t="s">
        <v>21</v>
      </c>
      <c r="Q50" s="41"/>
      <c r="R50" s="23"/>
    </row>
    <row r="51" spans="1:18" ht="28.8" x14ac:dyDescent="0.3">
      <c r="A51" s="82"/>
      <c r="B51" s="12" t="s">
        <v>284</v>
      </c>
      <c r="C51" s="17" t="s">
        <v>299</v>
      </c>
      <c r="D51" s="4" t="s">
        <v>26</v>
      </c>
      <c r="E51" s="51" t="s">
        <v>19</v>
      </c>
      <c r="F51" s="31" t="s">
        <v>20</v>
      </c>
      <c r="G51" s="49">
        <f t="shared" si="20"/>
        <v>0</v>
      </c>
      <c r="H51" s="50">
        <f t="shared" si="21"/>
        <v>0</v>
      </c>
      <c r="I51" s="41"/>
      <c r="J51" s="41"/>
      <c r="K51" s="41" t="s">
        <v>21</v>
      </c>
      <c r="L51" s="41"/>
      <c r="M51" s="41" t="s">
        <v>21</v>
      </c>
      <c r="N51" s="40"/>
      <c r="O51" s="40"/>
      <c r="P51" s="42"/>
      <c r="Q51" s="45" t="s">
        <v>21</v>
      </c>
      <c r="R51" s="23"/>
    </row>
    <row r="52" spans="1:18" ht="28.8" x14ac:dyDescent="0.3">
      <c r="A52" s="82"/>
      <c r="B52" s="12" t="s">
        <v>253</v>
      </c>
      <c r="C52" s="17"/>
      <c r="D52" s="4" t="s">
        <v>32</v>
      </c>
      <c r="E52" s="3" t="s">
        <v>19</v>
      </c>
      <c r="F52" s="31" t="s">
        <v>20</v>
      </c>
      <c r="G52" s="49">
        <f t="shared" si="20"/>
        <v>0</v>
      </c>
      <c r="H52" s="50">
        <f t="shared" si="21"/>
        <v>0</v>
      </c>
      <c r="I52" s="41" t="s">
        <v>21</v>
      </c>
      <c r="J52" s="41"/>
      <c r="K52" s="41"/>
      <c r="L52" s="41"/>
      <c r="M52" s="41" t="s">
        <v>21</v>
      </c>
      <c r="N52" s="40"/>
      <c r="O52" s="40"/>
      <c r="P52" s="42"/>
      <c r="Q52" s="41"/>
      <c r="R52" s="23"/>
    </row>
    <row r="53" spans="1:18" x14ac:dyDescent="0.3">
      <c r="A53" s="82"/>
      <c r="B53" s="12" t="s">
        <v>254</v>
      </c>
      <c r="C53" s="17" t="s">
        <v>300</v>
      </c>
      <c r="D53" s="4" t="s">
        <v>26</v>
      </c>
      <c r="E53" s="4" t="s">
        <v>45</v>
      </c>
      <c r="F53" s="31" t="s">
        <v>20</v>
      </c>
      <c r="G53" s="49">
        <f t="shared" si="20"/>
        <v>0</v>
      </c>
      <c r="H53" s="50">
        <f t="shared" si="21"/>
        <v>0</v>
      </c>
      <c r="I53" s="41"/>
      <c r="J53" s="41"/>
      <c r="K53" s="41"/>
      <c r="L53" s="41"/>
      <c r="M53" s="41"/>
      <c r="N53" s="40" t="s">
        <v>21</v>
      </c>
      <c r="O53" s="40" t="s">
        <v>21</v>
      </c>
      <c r="P53" s="42"/>
      <c r="Q53" s="41"/>
      <c r="R53" s="23"/>
    </row>
    <row r="54" spans="1:18" x14ac:dyDescent="0.3">
      <c r="A54" s="82"/>
      <c r="B54" s="100" t="s">
        <v>255</v>
      </c>
      <c r="C54" s="17" t="s">
        <v>98</v>
      </c>
      <c r="D54" s="4" t="s">
        <v>32</v>
      </c>
      <c r="E54" s="4" t="s">
        <v>45</v>
      </c>
      <c r="F54" s="47" t="s">
        <v>20</v>
      </c>
      <c r="G54" s="49">
        <f t="shared" si="20"/>
        <v>0</v>
      </c>
      <c r="H54" s="50">
        <f t="shared" si="21"/>
        <v>0</v>
      </c>
      <c r="I54" s="41" t="s">
        <v>21</v>
      </c>
      <c r="J54" s="41"/>
      <c r="K54" s="41" t="s">
        <v>21</v>
      </c>
      <c r="L54" s="41"/>
      <c r="M54" s="41"/>
      <c r="N54" s="40"/>
      <c r="O54" s="40"/>
      <c r="P54" s="42"/>
      <c r="Q54" s="45" t="s">
        <v>21</v>
      </c>
      <c r="R54" s="23"/>
    </row>
    <row r="55" spans="1:18" x14ac:dyDescent="0.3">
      <c r="A55" s="82"/>
      <c r="B55" s="100" t="s">
        <v>281</v>
      </c>
      <c r="C55" s="17" t="s">
        <v>277</v>
      </c>
      <c r="D55" s="26" t="s">
        <v>26</v>
      </c>
      <c r="E55" s="4" t="s">
        <v>27</v>
      </c>
      <c r="F55" s="31" t="s">
        <v>20</v>
      </c>
      <c r="G55" s="49">
        <f t="shared" si="20"/>
        <v>0</v>
      </c>
      <c r="H55" s="50">
        <f t="shared" si="21"/>
        <v>0</v>
      </c>
      <c r="I55" s="41"/>
      <c r="J55" s="41" t="s">
        <v>21</v>
      </c>
      <c r="K55" s="41"/>
      <c r="L55" s="41"/>
      <c r="M55" s="41"/>
      <c r="N55" s="40" t="s">
        <v>21</v>
      </c>
      <c r="O55" s="40"/>
      <c r="P55" s="42" t="s">
        <v>21</v>
      </c>
      <c r="Q55" s="41"/>
      <c r="R55" s="23"/>
    </row>
    <row r="56" spans="1:18" ht="43.8" thickBot="1" x14ac:dyDescent="0.35">
      <c r="A56" s="82"/>
      <c r="B56" s="12" t="s">
        <v>318</v>
      </c>
      <c r="C56" s="17" t="s">
        <v>319</v>
      </c>
      <c r="D56" s="4" t="s">
        <v>26</v>
      </c>
      <c r="E56" s="51" t="s">
        <v>45</v>
      </c>
      <c r="F56" s="31" t="s">
        <v>20</v>
      </c>
      <c r="G56" s="49">
        <f t="shared" si="20"/>
        <v>0</v>
      </c>
      <c r="H56" s="50">
        <f t="shared" si="21"/>
        <v>0</v>
      </c>
      <c r="I56" s="41" t="s">
        <v>21</v>
      </c>
      <c r="J56" s="41"/>
      <c r="K56" s="41" t="s">
        <v>21</v>
      </c>
      <c r="L56" s="41"/>
      <c r="M56" s="41"/>
      <c r="N56" s="40" t="s">
        <v>21</v>
      </c>
      <c r="O56" s="40"/>
      <c r="P56" s="42"/>
      <c r="Q56" s="41"/>
      <c r="R56" s="23"/>
    </row>
    <row r="57" spans="1:18" x14ac:dyDescent="0.3">
      <c r="A57" s="30"/>
      <c r="B57" s="1" t="s">
        <v>262</v>
      </c>
      <c r="C57" s="13"/>
      <c r="D57" s="13"/>
      <c r="E57" s="90"/>
      <c r="F57" s="22"/>
      <c r="G57" s="22"/>
      <c r="H57" s="22"/>
      <c r="I57" s="41"/>
      <c r="J57" s="41"/>
      <c r="K57" s="41"/>
      <c r="L57" s="41"/>
      <c r="M57" s="41"/>
      <c r="N57" s="40"/>
      <c r="O57" s="40"/>
      <c r="P57" s="42"/>
      <c r="Q57" s="41"/>
      <c r="R57" s="23"/>
    </row>
    <row r="58" spans="1:18" ht="43.2" x14ac:dyDescent="0.3">
      <c r="A58" s="95" t="s">
        <v>279</v>
      </c>
      <c r="B58" s="100" t="s">
        <v>282</v>
      </c>
      <c r="C58" s="19" t="s">
        <v>302</v>
      </c>
      <c r="D58" s="4" t="s">
        <v>18</v>
      </c>
      <c r="E58" s="3" t="s">
        <v>34</v>
      </c>
      <c r="F58" s="31" t="s">
        <v>20</v>
      </c>
      <c r="G58" s="49">
        <f t="shared" ref="G58:G61" si="22">VALUE(IF(F58&lt;&gt;"-",MID($F58,1,1),0))</f>
        <v>0</v>
      </c>
      <c r="H58" s="50">
        <f t="shared" ref="H58:H61" si="23">VALUE(IF(F58&lt;&gt;"-",MID(F58,1,1)*MID($F58,1,1),0))</f>
        <v>0</v>
      </c>
      <c r="I58" s="41"/>
      <c r="J58" s="41"/>
      <c r="K58" s="41" t="s">
        <v>21</v>
      </c>
      <c r="L58" s="41"/>
      <c r="M58" s="41"/>
      <c r="N58" s="40"/>
      <c r="O58" s="40"/>
      <c r="P58" s="42"/>
      <c r="Q58" s="45" t="s">
        <v>21</v>
      </c>
      <c r="R58" s="23"/>
    </row>
    <row r="59" spans="1:18" ht="28.8" x14ac:dyDescent="0.3">
      <c r="A59" s="80" t="s">
        <v>112</v>
      </c>
      <c r="B59" s="12" t="s">
        <v>283</v>
      </c>
      <c r="C59" t="s">
        <v>113</v>
      </c>
      <c r="D59" s="4" t="s">
        <v>18</v>
      </c>
      <c r="E59" s="4" t="s">
        <v>27</v>
      </c>
      <c r="F59" s="31" t="s">
        <v>20</v>
      </c>
      <c r="G59" s="49">
        <f>VALUE(IF(F59&lt;&gt;"-",MID($F59,1,1),0))</f>
        <v>0</v>
      </c>
      <c r="H59" s="50">
        <f>VALUE(IF(F59&lt;&gt;"-",MID(F59,1,1)*MID($F59,1,1),0))</f>
        <v>0</v>
      </c>
      <c r="I59" s="41"/>
      <c r="J59" s="41"/>
      <c r="K59" s="41" t="s">
        <v>21</v>
      </c>
      <c r="L59" s="41"/>
      <c r="M59" s="41"/>
      <c r="N59" s="40"/>
      <c r="O59" s="40"/>
      <c r="P59" s="42" t="s">
        <v>21</v>
      </c>
      <c r="Q59" s="41"/>
      <c r="R59" s="23"/>
    </row>
    <row r="60" spans="1:18" x14ac:dyDescent="0.3">
      <c r="A60" s="80" t="s">
        <v>99</v>
      </c>
      <c r="B60" s="12" t="s">
        <v>100</v>
      </c>
      <c r="C60" s="17"/>
      <c r="D60" s="4" t="s">
        <v>32</v>
      </c>
      <c r="E60" s="4" t="s">
        <v>45</v>
      </c>
      <c r="F60" s="87" t="s">
        <v>20</v>
      </c>
      <c r="G60" s="49">
        <f t="shared" si="22"/>
        <v>0</v>
      </c>
      <c r="H60" s="50">
        <f t="shared" si="23"/>
        <v>0</v>
      </c>
      <c r="I60" s="41"/>
      <c r="J60" s="41"/>
      <c r="K60" s="41"/>
      <c r="L60" s="41" t="s">
        <v>21</v>
      </c>
      <c r="M60" s="41"/>
      <c r="N60" s="40" t="s">
        <v>21</v>
      </c>
      <c r="O60" s="40"/>
      <c r="P60" s="42"/>
      <c r="Q60" s="45" t="s">
        <v>21</v>
      </c>
      <c r="R60" s="23"/>
    </row>
    <row r="61" spans="1:18" ht="28.8" x14ac:dyDescent="0.3">
      <c r="A61" s="80" t="s">
        <v>101</v>
      </c>
      <c r="B61" s="12" t="s">
        <v>337</v>
      </c>
      <c r="C61" s="17" t="s">
        <v>301</v>
      </c>
      <c r="D61" s="4" t="s">
        <v>32</v>
      </c>
      <c r="E61" s="51" t="s">
        <v>19</v>
      </c>
      <c r="F61" s="31" t="s">
        <v>20</v>
      </c>
      <c r="G61" s="49">
        <f t="shared" si="22"/>
        <v>0</v>
      </c>
      <c r="H61" s="50">
        <f t="shared" si="23"/>
        <v>0</v>
      </c>
      <c r="I61" s="41"/>
      <c r="J61" s="41"/>
      <c r="K61" s="41"/>
      <c r="L61" s="41" t="s">
        <v>21</v>
      </c>
      <c r="M61" s="41"/>
      <c r="N61" s="40"/>
      <c r="O61" s="40" t="s">
        <v>21</v>
      </c>
      <c r="P61" s="42"/>
      <c r="Q61" s="45" t="s">
        <v>21</v>
      </c>
      <c r="R61" s="23"/>
    </row>
    <row r="62" spans="1:18" ht="43.8" thickBot="1" x14ac:dyDescent="0.35">
      <c r="A62" s="80" t="s">
        <v>114</v>
      </c>
      <c r="B62" s="12" t="s">
        <v>280</v>
      </c>
      <c r="C62" s="25" t="s">
        <v>115</v>
      </c>
      <c r="D62" s="4" t="s">
        <v>26</v>
      </c>
      <c r="E62" s="4" t="s">
        <v>19</v>
      </c>
      <c r="F62" s="31" t="s">
        <v>20</v>
      </c>
      <c r="G62" s="49">
        <f>VALUE(IF(F62&lt;&gt;"-",MID($F62,1,1),0))</f>
        <v>0</v>
      </c>
      <c r="H62" s="50">
        <f>VALUE(IF(F62&lt;&gt;"-",MID(F62,1,1)*MID($F62,1,1),0))</f>
        <v>0</v>
      </c>
      <c r="I62" s="41"/>
      <c r="J62" s="41"/>
      <c r="K62" s="41" t="s">
        <v>21</v>
      </c>
      <c r="L62" s="41" t="s">
        <v>21</v>
      </c>
      <c r="M62" s="41"/>
      <c r="N62" s="40" t="s">
        <v>21</v>
      </c>
      <c r="O62" s="40"/>
      <c r="P62" s="42"/>
      <c r="Q62" s="45" t="s">
        <v>21</v>
      </c>
      <c r="R62" s="23"/>
    </row>
    <row r="63" spans="1:18" x14ac:dyDescent="0.3">
      <c r="A63" s="30"/>
      <c r="B63" s="1" t="s">
        <v>342</v>
      </c>
      <c r="C63" s="13"/>
      <c r="D63" s="13"/>
      <c r="E63" s="90"/>
      <c r="F63" s="22"/>
      <c r="G63" s="22"/>
      <c r="H63" s="22"/>
      <c r="I63" s="41"/>
      <c r="J63" s="41"/>
      <c r="K63" s="41"/>
      <c r="L63" s="41"/>
      <c r="M63" s="41"/>
      <c r="N63" s="40"/>
      <c r="O63" s="40"/>
      <c r="P63" s="42"/>
      <c r="Q63" s="41"/>
      <c r="R63" s="23"/>
    </row>
    <row r="64" spans="1:18" ht="43.2" x14ac:dyDescent="0.3">
      <c r="A64" s="80" t="s">
        <v>102</v>
      </c>
      <c r="B64" s="100" t="s">
        <v>316</v>
      </c>
      <c r="C64" s="17"/>
      <c r="D64" s="4" t="s">
        <v>26</v>
      </c>
      <c r="E64" s="4" t="s">
        <v>27</v>
      </c>
      <c r="F64" s="87" t="s">
        <v>20</v>
      </c>
      <c r="G64" s="49">
        <f>VALUE(IF(F64&lt;&gt;"-",MID($F64,1,1),0))</f>
        <v>0</v>
      </c>
      <c r="H64" s="50">
        <f>VALUE(IF(F64&lt;&gt;"-",MID(F64,1,1)*MID($F64,1,1),0))</f>
        <v>0</v>
      </c>
      <c r="I64" s="41" t="s">
        <v>21</v>
      </c>
      <c r="J64" s="41"/>
      <c r="K64" s="41"/>
      <c r="L64" s="41"/>
      <c r="M64" s="41"/>
      <c r="N64" s="40" t="s">
        <v>21</v>
      </c>
      <c r="O64" s="40"/>
      <c r="P64" s="42"/>
      <c r="Q64" s="41"/>
      <c r="R64" s="23"/>
    </row>
    <row r="65" spans="1:18" x14ac:dyDescent="0.3">
      <c r="A65" s="95" t="s">
        <v>103</v>
      </c>
      <c r="B65" s="100" t="s">
        <v>104</v>
      </c>
      <c r="C65" s="17" t="s">
        <v>303</v>
      </c>
      <c r="D65" s="4" t="s">
        <v>26</v>
      </c>
      <c r="E65" s="4"/>
      <c r="F65" s="87" t="s">
        <v>20</v>
      </c>
      <c r="G65" s="49">
        <f t="shared" ref="G65:G68" si="24">VALUE(IF(F65&lt;&gt;"-",MID($F65,1,1),0))</f>
        <v>0</v>
      </c>
      <c r="H65" s="50">
        <f t="shared" ref="H65:H68" si="25">VALUE(IF(F65&lt;&gt;"-",MID(F65,1,1)*MID($F65,1,1),0))</f>
        <v>0</v>
      </c>
      <c r="I65" s="41"/>
      <c r="J65" s="41"/>
      <c r="K65" s="41"/>
      <c r="L65" s="41"/>
      <c r="M65" s="41"/>
      <c r="N65" s="40" t="s">
        <v>21</v>
      </c>
      <c r="O65" s="40" t="s">
        <v>21</v>
      </c>
      <c r="P65" s="42"/>
      <c r="Q65" s="41"/>
      <c r="R65" s="23"/>
    </row>
    <row r="66" spans="1:18" x14ac:dyDescent="0.3">
      <c r="A66" s="95" t="s">
        <v>105</v>
      </c>
      <c r="B66" s="100" t="s">
        <v>106</v>
      </c>
      <c r="C66" s="17" t="s">
        <v>317</v>
      </c>
      <c r="D66" s="4" t="s">
        <v>26</v>
      </c>
      <c r="E66" s="4"/>
      <c r="F66" s="87" t="s">
        <v>20</v>
      </c>
      <c r="G66" s="49">
        <f t="shared" si="24"/>
        <v>0</v>
      </c>
      <c r="H66" s="50">
        <f t="shared" si="25"/>
        <v>0</v>
      </c>
      <c r="I66" s="41"/>
      <c r="J66" s="41"/>
      <c r="K66" s="41"/>
      <c r="L66" s="41"/>
      <c r="M66" s="41"/>
      <c r="N66" s="40"/>
      <c r="O66" s="40"/>
      <c r="P66" s="42" t="s">
        <v>21</v>
      </c>
      <c r="Q66" s="41"/>
      <c r="R66" s="23"/>
    </row>
    <row r="67" spans="1:18" ht="28.8" x14ac:dyDescent="0.3">
      <c r="A67" s="80" t="s">
        <v>107</v>
      </c>
      <c r="B67" s="100" t="s">
        <v>108</v>
      </c>
      <c r="C67" s="17" t="s">
        <v>109</v>
      </c>
      <c r="D67" s="4" t="s">
        <v>26</v>
      </c>
      <c r="E67" s="4"/>
      <c r="F67" s="87" t="s">
        <v>20</v>
      </c>
      <c r="G67" s="49">
        <f t="shared" si="24"/>
        <v>0</v>
      </c>
      <c r="H67" s="50">
        <f t="shared" si="25"/>
        <v>0</v>
      </c>
      <c r="I67" s="41"/>
      <c r="J67" s="41"/>
      <c r="K67" s="41"/>
      <c r="L67" s="41"/>
      <c r="M67" s="41"/>
      <c r="N67" s="40" t="s">
        <v>21</v>
      </c>
      <c r="O67" s="40"/>
      <c r="P67" s="42"/>
      <c r="Q67" s="41"/>
      <c r="R67" s="23"/>
    </row>
    <row r="68" spans="1:18" ht="58.2" thickBot="1" x14ac:dyDescent="0.35">
      <c r="A68" s="95" t="s">
        <v>110</v>
      </c>
      <c r="B68" s="100" t="s">
        <v>111</v>
      </c>
      <c r="C68" s="19" t="s">
        <v>304</v>
      </c>
      <c r="D68" s="4" t="s">
        <v>26</v>
      </c>
      <c r="E68" s="4"/>
      <c r="F68" s="87" t="s">
        <v>20</v>
      </c>
      <c r="G68" s="49">
        <f t="shared" si="24"/>
        <v>0</v>
      </c>
      <c r="H68" s="50">
        <f t="shared" si="25"/>
        <v>0</v>
      </c>
      <c r="I68" s="41"/>
      <c r="J68" s="41" t="s">
        <v>21</v>
      </c>
      <c r="K68" s="41"/>
      <c r="L68" s="41"/>
      <c r="M68" s="41"/>
      <c r="N68" s="40"/>
      <c r="O68" s="40"/>
      <c r="P68" s="42" t="s">
        <v>21</v>
      </c>
      <c r="Q68" s="41"/>
      <c r="R68" s="23"/>
    </row>
    <row r="69" spans="1:18" x14ac:dyDescent="0.3">
      <c r="A69" s="80"/>
      <c r="B69" s="1" t="s">
        <v>116</v>
      </c>
      <c r="C69" s="13"/>
      <c r="D69" s="13"/>
      <c r="E69" s="90"/>
      <c r="F69" s="22"/>
      <c r="G69" s="22"/>
      <c r="H69" s="22"/>
      <c r="I69" s="41"/>
      <c r="J69" s="41"/>
      <c r="K69" s="41"/>
      <c r="L69" s="41"/>
      <c r="M69" s="41"/>
      <c r="N69" s="40"/>
      <c r="O69" s="40"/>
      <c r="P69" s="42"/>
      <c r="Q69" s="41"/>
      <c r="R69" s="23"/>
    </row>
    <row r="70" spans="1:18" ht="28.8" x14ac:dyDescent="0.3">
      <c r="A70" s="80" t="s">
        <v>117</v>
      </c>
      <c r="B70" s="12" t="s">
        <v>118</v>
      </c>
      <c r="C70" s="78" t="s">
        <v>305</v>
      </c>
      <c r="D70" s="3" t="s">
        <v>26</v>
      </c>
      <c r="E70" s="3" t="s">
        <v>34</v>
      </c>
      <c r="F70" s="31" t="s">
        <v>20</v>
      </c>
      <c r="G70" s="49">
        <f t="shared" ref="G70:G73" si="26">VALUE(IF(F70&lt;&gt;"-",MID($F70,1,1),0))</f>
        <v>0</v>
      </c>
      <c r="H70" s="50">
        <f t="shared" ref="H70:H73" si="27">VALUE(IF(F70&lt;&gt;"-",MID(F70,1,1)*MID($F70,1,1),0))</f>
        <v>0</v>
      </c>
      <c r="I70" s="41"/>
      <c r="J70" s="41"/>
      <c r="K70" s="41"/>
      <c r="L70" s="41" t="s">
        <v>21</v>
      </c>
      <c r="M70" s="41"/>
      <c r="N70" s="40" t="s">
        <v>21</v>
      </c>
      <c r="O70" s="40" t="s">
        <v>21</v>
      </c>
      <c r="P70" s="42"/>
      <c r="Q70" s="41"/>
      <c r="R70" s="23"/>
    </row>
    <row r="71" spans="1:18" ht="28.8" x14ac:dyDescent="0.3">
      <c r="A71" s="80" t="s">
        <v>119</v>
      </c>
      <c r="B71" s="100" t="s">
        <v>266</v>
      </c>
      <c r="C71" s="79" t="s">
        <v>306</v>
      </c>
      <c r="D71" s="3" t="s">
        <v>18</v>
      </c>
      <c r="E71" s="4" t="s">
        <v>34</v>
      </c>
      <c r="F71" s="31" t="s">
        <v>20</v>
      </c>
      <c r="G71" s="49">
        <f t="shared" si="26"/>
        <v>0</v>
      </c>
      <c r="H71" s="50">
        <f t="shared" si="27"/>
        <v>0</v>
      </c>
      <c r="I71" s="41"/>
      <c r="J71" s="41"/>
      <c r="K71" s="41"/>
      <c r="L71" s="41" t="s">
        <v>21</v>
      </c>
      <c r="M71" s="41"/>
      <c r="N71" s="40" t="s">
        <v>21</v>
      </c>
      <c r="O71" s="40"/>
      <c r="P71" s="42" t="s">
        <v>21</v>
      </c>
      <c r="Q71" s="41"/>
      <c r="R71" s="23"/>
    </row>
    <row r="72" spans="1:18" ht="28.8" x14ac:dyDescent="0.3">
      <c r="A72" s="80" t="s">
        <v>120</v>
      </c>
      <c r="B72" s="12" t="s">
        <v>121</v>
      </c>
      <c r="C72" s="27"/>
      <c r="D72" s="3" t="s">
        <v>26</v>
      </c>
      <c r="E72" s="4" t="s">
        <v>45</v>
      </c>
      <c r="F72" s="31" t="s">
        <v>20</v>
      </c>
      <c r="G72" s="49">
        <f t="shared" si="26"/>
        <v>0</v>
      </c>
      <c r="H72" s="50">
        <f t="shared" si="27"/>
        <v>0</v>
      </c>
      <c r="I72" s="41"/>
      <c r="J72" s="41"/>
      <c r="K72" s="41" t="s">
        <v>21</v>
      </c>
      <c r="L72" s="41"/>
      <c r="M72" s="41"/>
      <c r="N72" s="40"/>
      <c r="O72" s="40"/>
      <c r="P72" s="42" t="s">
        <v>21</v>
      </c>
      <c r="Q72" s="41"/>
      <c r="R72" s="23"/>
    </row>
    <row r="73" spans="1:18" ht="43.8" thickBot="1" x14ac:dyDescent="0.35">
      <c r="A73" s="80" t="s">
        <v>122</v>
      </c>
      <c r="B73" s="100" t="s">
        <v>285</v>
      </c>
      <c r="C73" s="24" t="s">
        <v>307</v>
      </c>
      <c r="D73" s="3" t="s">
        <v>26</v>
      </c>
      <c r="E73" s="4" t="s">
        <v>27</v>
      </c>
      <c r="F73" s="31" t="s">
        <v>20</v>
      </c>
      <c r="G73" s="49">
        <f t="shared" si="26"/>
        <v>0</v>
      </c>
      <c r="H73" s="50">
        <f t="shared" si="27"/>
        <v>0</v>
      </c>
      <c r="I73" s="41"/>
      <c r="J73" s="41"/>
      <c r="K73" s="41" t="s">
        <v>21</v>
      </c>
      <c r="L73" s="41"/>
      <c r="M73" s="41"/>
      <c r="N73" s="40" t="s">
        <v>21</v>
      </c>
      <c r="O73" s="40" t="s">
        <v>21</v>
      </c>
      <c r="P73" s="42" t="s">
        <v>21</v>
      </c>
      <c r="Q73" s="41"/>
      <c r="R73" s="23"/>
    </row>
    <row r="74" spans="1:18" x14ac:dyDescent="0.3">
      <c r="A74" s="80"/>
      <c r="B74" s="6" t="s">
        <v>123</v>
      </c>
      <c r="C74" s="20"/>
      <c r="D74" s="20"/>
      <c r="E74" s="91"/>
      <c r="F74" s="22"/>
      <c r="G74" s="22"/>
      <c r="H74" s="22"/>
      <c r="I74" s="41"/>
      <c r="J74" s="41"/>
      <c r="K74" s="41"/>
      <c r="L74" s="41"/>
      <c r="M74" s="41"/>
      <c r="N74" s="40"/>
      <c r="O74" s="40"/>
      <c r="P74" s="42"/>
      <c r="Q74" s="41"/>
      <c r="R74" s="23"/>
    </row>
    <row r="75" spans="1:18" ht="28.8" x14ac:dyDescent="0.3">
      <c r="A75" s="80" t="s">
        <v>124</v>
      </c>
      <c r="B75" s="12" t="s">
        <v>256</v>
      </c>
      <c r="C75" s="16" t="s">
        <v>125</v>
      </c>
      <c r="D75" s="4" t="s">
        <v>18</v>
      </c>
      <c r="E75" s="3" t="s">
        <v>85</v>
      </c>
      <c r="F75" s="31" t="s">
        <v>20</v>
      </c>
      <c r="G75" s="49">
        <f t="shared" ref="G75:G81" si="28">VALUE(IF(F75&lt;&gt;"-",MID($F75,1,1),0))</f>
        <v>0</v>
      </c>
      <c r="H75" s="50">
        <f t="shared" ref="H75:H81" si="29">VALUE(IF(F75&lt;&gt;"-",MID(F75,1,1)*MID($F75,1,1),0))</f>
        <v>0</v>
      </c>
      <c r="I75" s="41"/>
      <c r="J75" s="41"/>
      <c r="K75" s="41"/>
      <c r="L75" s="41" t="s">
        <v>21</v>
      </c>
      <c r="M75" s="41"/>
      <c r="N75" s="40" t="s">
        <v>21</v>
      </c>
      <c r="O75" s="40" t="s">
        <v>21</v>
      </c>
      <c r="P75" s="42"/>
      <c r="Q75" s="41"/>
      <c r="R75" s="23"/>
    </row>
    <row r="76" spans="1:18" ht="28.8" x14ac:dyDescent="0.3">
      <c r="A76" s="80" t="s">
        <v>126</v>
      </c>
      <c r="B76" s="12" t="s">
        <v>127</v>
      </c>
      <c r="C76" s="78" t="s">
        <v>308</v>
      </c>
      <c r="D76" s="3" t="s">
        <v>18</v>
      </c>
      <c r="E76" s="4" t="s">
        <v>19</v>
      </c>
      <c r="F76" s="31" t="s">
        <v>20</v>
      </c>
      <c r="G76" s="49">
        <f t="shared" si="28"/>
        <v>0</v>
      </c>
      <c r="H76" s="50">
        <f t="shared" si="29"/>
        <v>0</v>
      </c>
      <c r="I76" s="41"/>
      <c r="J76" s="41"/>
      <c r="K76" s="41"/>
      <c r="L76" s="41"/>
      <c r="M76" s="41"/>
      <c r="N76" s="40" t="s">
        <v>21</v>
      </c>
      <c r="O76" s="40"/>
      <c r="P76" s="42" t="s">
        <v>21</v>
      </c>
      <c r="Q76" s="41" t="s">
        <v>21</v>
      </c>
      <c r="R76" s="23"/>
    </row>
    <row r="77" spans="1:18" x14ac:dyDescent="0.3">
      <c r="A77" s="80" t="s">
        <v>128</v>
      </c>
      <c r="B77" s="100" t="s">
        <v>267</v>
      </c>
      <c r="C77" s="21" t="s">
        <v>309</v>
      </c>
      <c r="D77" s="4" t="s">
        <v>18</v>
      </c>
      <c r="E77" s="4" t="s">
        <v>61</v>
      </c>
      <c r="F77" s="31" t="s">
        <v>20</v>
      </c>
      <c r="G77" s="49">
        <f t="shared" si="28"/>
        <v>0</v>
      </c>
      <c r="H77" s="50">
        <f t="shared" si="29"/>
        <v>0</v>
      </c>
      <c r="I77" s="41"/>
      <c r="J77" s="41"/>
      <c r="K77" s="41" t="s">
        <v>21</v>
      </c>
      <c r="L77" s="41"/>
      <c r="M77" s="41"/>
      <c r="N77" s="40" t="s">
        <v>21</v>
      </c>
      <c r="O77" s="40"/>
      <c r="P77" s="42"/>
      <c r="Q77" s="41" t="s">
        <v>21</v>
      </c>
      <c r="R77" s="23"/>
    </row>
    <row r="78" spans="1:18" x14ac:dyDescent="0.3">
      <c r="A78" s="80" t="s">
        <v>129</v>
      </c>
      <c r="B78" s="12" t="s">
        <v>130</v>
      </c>
      <c r="C78" s="17" t="s">
        <v>310</v>
      </c>
      <c r="D78" s="4" t="s">
        <v>26</v>
      </c>
      <c r="E78" s="51" t="s">
        <v>34</v>
      </c>
      <c r="F78" s="31" t="s">
        <v>20</v>
      </c>
      <c r="G78" s="49">
        <f t="shared" si="28"/>
        <v>0</v>
      </c>
      <c r="H78" s="50">
        <f t="shared" si="29"/>
        <v>0</v>
      </c>
      <c r="I78" s="41"/>
      <c r="J78" s="41"/>
      <c r="K78" s="41" t="s">
        <v>21</v>
      </c>
      <c r="L78" s="41"/>
      <c r="M78" s="41"/>
      <c r="N78" s="40"/>
      <c r="O78" s="40"/>
      <c r="P78" s="42"/>
      <c r="Q78" s="41" t="s">
        <v>21</v>
      </c>
      <c r="R78" s="23"/>
    </row>
    <row r="79" spans="1:18" ht="28.8" x14ac:dyDescent="0.3">
      <c r="A79" s="80" t="s">
        <v>131</v>
      </c>
      <c r="B79" s="12" t="s">
        <v>257</v>
      </c>
      <c r="C79" s="19" t="s">
        <v>311</v>
      </c>
      <c r="D79" s="4" t="s">
        <v>18</v>
      </c>
      <c r="E79" s="4" t="s">
        <v>27</v>
      </c>
      <c r="F79" s="31" t="s">
        <v>20</v>
      </c>
      <c r="G79" s="49">
        <f t="shared" si="28"/>
        <v>0</v>
      </c>
      <c r="H79" s="50">
        <f t="shared" si="29"/>
        <v>0</v>
      </c>
      <c r="I79" s="41" t="s">
        <v>21</v>
      </c>
      <c r="J79" s="41"/>
      <c r="K79" s="41"/>
      <c r="L79" s="41"/>
      <c r="M79" s="41"/>
      <c r="N79" s="40" t="s">
        <v>21</v>
      </c>
      <c r="O79" s="40"/>
      <c r="P79" s="42" t="s">
        <v>21</v>
      </c>
      <c r="Q79" s="41"/>
      <c r="R79" s="23"/>
    </row>
    <row r="80" spans="1:18" ht="28.8" x14ac:dyDescent="0.3">
      <c r="A80" s="80" t="s">
        <v>132</v>
      </c>
      <c r="B80" s="12" t="s">
        <v>268</v>
      </c>
      <c r="C80" s="17" t="s">
        <v>133</v>
      </c>
      <c r="D80" s="4" t="s">
        <v>26</v>
      </c>
      <c r="E80" s="3" t="s">
        <v>45</v>
      </c>
      <c r="F80" s="31" t="s">
        <v>20</v>
      </c>
      <c r="G80" s="49">
        <f t="shared" si="28"/>
        <v>0</v>
      </c>
      <c r="H80" s="50">
        <f t="shared" si="29"/>
        <v>0</v>
      </c>
      <c r="I80" s="41" t="s">
        <v>21</v>
      </c>
      <c r="J80" s="41"/>
      <c r="K80" s="41"/>
      <c r="L80" s="41"/>
      <c r="M80" s="41"/>
      <c r="N80" s="40" t="s">
        <v>21</v>
      </c>
      <c r="O80" s="40" t="s">
        <v>21</v>
      </c>
      <c r="P80" s="42"/>
      <c r="Q80" s="41"/>
      <c r="R80" s="23"/>
    </row>
    <row r="81" spans="1:18" ht="29.4" thickBot="1" x14ac:dyDescent="0.35">
      <c r="A81" s="80" t="s">
        <v>134</v>
      </c>
      <c r="B81" s="12" t="s">
        <v>135</v>
      </c>
      <c r="C81" t="s">
        <v>136</v>
      </c>
      <c r="D81" s="4" t="s">
        <v>26</v>
      </c>
      <c r="E81" s="4" t="s">
        <v>85</v>
      </c>
      <c r="F81" s="31" t="s">
        <v>20</v>
      </c>
      <c r="G81" s="49">
        <f t="shared" si="28"/>
        <v>0</v>
      </c>
      <c r="H81" s="50">
        <f t="shared" si="29"/>
        <v>0</v>
      </c>
      <c r="I81" s="41"/>
      <c r="J81" s="41"/>
      <c r="K81" s="41"/>
      <c r="L81" s="41" t="s">
        <v>21</v>
      </c>
      <c r="M81" s="41"/>
      <c r="N81" s="40"/>
      <c r="O81" s="40" t="s">
        <v>21</v>
      </c>
      <c r="P81" s="42"/>
      <c r="Q81" s="41" t="s">
        <v>21</v>
      </c>
      <c r="R81" s="23"/>
    </row>
    <row r="82" spans="1:18" x14ac:dyDescent="0.3">
      <c r="A82" s="23"/>
      <c r="B82" s="6" t="s">
        <v>137</v>
      </c>
      <c r="C82" s="20"/>
      <c r="D82" s="20"/>
      <c r="E82" s="91"/>
      <c r="F82" s="22"/>
      <c r="G82" s="22"/>
      <c r="H82" s="22"/>
      <c r="I82" s="41"/>
      <c r="J82" s="41"/>
      <c r="K82" s="41"/>
      <c r="L82" s="41"/>
      <c r="M82" s="41"/>
      <c r="N82" s="40"/>
      <c r="O82" s="40"/>
      <c r="P82" s="42"/>
      <c r="Q82" s="41"/>
      <c r="R82" s="23"/>
    </row>
    <row r="83" spans="1:18" x14ac:dyDescent="0.3">
      <c r="A83" s="80" t="s">
        <v>138</v>
      </c>
      <c r="B83" s="8" t="s">
        <v>258</v>
      </c>
      <c r="C83" s="16" t="s">
        <v>312</v>
      </c>
      <c r="D83" s="3" t="s">
        <v>18</v>
      </c>
      <c r="E83" s="3" t="s">
        <v>27</v>
      </c>
      <c r="F83" s="31" t="s">
        <v>20</v>
      </c>
      <c r="G83" s="49">
        <f t="shared" ref="G83:G86" si="30">VALUE(IF(F83&lt;&gt;"-",MID($F83,1,1),0))</f>
        <v>0</v>
      </c>
      <c r="H83" s="50">
        <f t="shared" ref="H83:H86" si="31">VALUE(IF(F83&lt;&gt;"-",MID(F83,1,1)*MID($F83,1,1),0))</f>
        <v>0</v>
      </c>
      <c r="I83" s="41"/>
      <c r="J83" s="41"/>
      <c r="K83" s="41"/>
      <c r="L83" s="41"/>
      <c r="M83" s="41"/>
      <c r="N83" s="40"/>
      <c r="O83" s="40"/>
      <c r="P83" s="42" t="s">
        <v>21</v>
      </c>
      <c r="Q83" s="41"/>
      <c r="R83" s="23"/>
    </row>
    <row r="84" spans="1:18" ht="28.8" x14ac:dyDescent="0.3">
      <c r="A84" s="80" t="s">
        <v>139</v>
      </c>
      <c r="B84" s="12" t="s">
        <v>140</v>
      </c>
      <c r="C84" s="108" t="s">
        <v>343</v>
      </c>
      <c r="D84" s="4" t="s">
        <v>26</v>
      </c>
      <c r="E84" s="4" t="s">
        <v>19</v>
      </c>
      <c r="F84" s="31" t="s">
        <v>20</v>
      </c>
      <c r="G84" s="49">
        <f t="shared" si="30"/>
        <v>0</v>
      </c>
      <c r="H84" s="50">
        <f t="shared" si="31"/>
        <v>0</v>
      </c>
      <c r="I84" s="41" t="s">
        <v>21</v>
      </c>
      <c r="J84" s="41"/>
      <c r="K84" s="41"/>
      <c r="L84" s="41" t="s">
        <v>21</v>
      </c>
      <c r="M84" s="41"/>
      <c r="N84" s="40"/>
      <c r="O84" s="40" t="s">
        <v>21</v>
      </c>
      <c r="P84" s="42"/>
      <c r="Q84" s="41"/>
      <c r="R84" s="23"/>
    </row>
    <row r="85" spans="1:18" x14ac:dyDescent="0.3">
      <c r="A85" s="80" t="s">
        <v>141</v>
      </c>
      <c r="B85" s="9" t="s">
        <v>142</v>
      </c>
      <c r="C85" s="17" t="s">
        <v>143</v>
      </c>
      <c r="D85" s="4" t="s">
        <v>32</v>
      </c>
      <c r="E85" s="4" t="s">
        <v>19</v>
      </c>
      <c r="F85" s="31" t="s">
        <v>20</v>
      </c>
      <c r="G85" s="49">
        <f t="shared" si="30"/>
        <v>0</v>
      </c>
      <c r="H85" s="50">
        <f t="shared" si="31"/>
        <v>0</v>
      </c>
      <c r="I85" s="41" t="s">
        <v>21</v>
      </c>
      <c r="J85" s="41"/>
      <c r="K85" s="41" t="s">
        <v>21</v>
      </c>
      <c r="L85" s="41"/>
      <c r="M85" s="41" t="s">
        <v>21</v>
      </c>
      <c r="N85" s="40"/>
      <c r="O85" s="40"/>
      <c r="P85" s="42"/>
      <c r="Q85" s="41"/>
      <c r="R85" s="23"/>
    </row>
    <row r="86" spans="1:18" ht="15" thickBot="1" x14ac:dyDescent="0.35">
      <c r="A86" s="80" t="s">
        <v>144</v>
      </c>
      <c r="B86" s="9" t="s">
        <v>145</v>
      </c>
      <c r="C86" s="19" t="s">
        <v>313</v>
      </c>
      <c r="D86" s="4" t="s">
        <v>18</v>
      </c>
      <c r="E86" s="4" t="s">
        <v>19</v>
      </c>
      <c r="F86" s="31" t="s">
        <v>20</v>
      </c>
      <c r="G86" s="49">
        <f t="shared" si="30"/>
        <v>0</v>
      </c>
      <c r="H86" s="50">
        <f t="shared" si="31"/>
        <v>0</v>
      </c>
      <c r="I86" s="41"/>
      <c r="J86" s="41"/>
      <c r="K86" s="41"/>
      <c r="L86" s="41" t="s">
        <v>21</v>
      </c>
      <c r="M86" s="41"/>
      <c r="N86" s="40" t="s">
        <v>21</v>
      </c>
      <c r="O86" s="40"/>
      <c r="P86" s="42"/>
      <c r="Q86" s="41"/>
      <c r="R86" s="23"/>
    </row>
    <row r="87" spans="1:18" x14ac:dyDescent="0.3">
      <c r="A87" s="23"/>
      <c r="B87" s="6" t="s">
        <v>146</v>
      </c>
      <c r="C87" s="20"/>
      <c r="D87" s="20"/>
      <c r="E87" s="91"/>
      <c r="F87" s="22"/>
      <c r="G87" s="22"/>
      <c r="H87" s="22"/>
      <c r="I87" s="41"/>
      <c r="J87" s="41"/>
      <c r="K87" s="41"/>
      <c r="L87" s="41"/>
      <c r="M87" s="41"/>
      <c r="N87" s="40"/>
      <c r="O87" s="40"/>
      <c r="P87" s="42"/>
      <c r="Q87" s="41"/>
      <c r="R87" s="23"/>
    </row>
    <row r="88" spans="1:18" x14ac:dyDescent="0.3">
      <c r="A88" s="80" t="s">
        <v>147</v>
      </c>
      <c r="B88" s="104" t="s">
        <v>347</v>
      </c>
      <c r="C88" s="122" t="s">
        <v>367</v>
      </c>
      <c r="D88" s="3" t="s">
        <v>18</v>
      </c>
      <c r="E88" s="3" t="s">
        <v>19</v>
      </c>
      <c r="F88" s="31" t="s">
        <v>20</v>
      </c>
      <c r="G88" s="49">
        <f t="shared" ref="G88:G92" si="32">VALUE(IF(F88&lt;&gt;"-",MID($F88,1,1),0))</f>
        <v>0</v>
      </c>
      <c r="H88" s="50">
        <f t="shared" ref="H88:H92" si="33">VALUE(IF(F88&lt;&gt;"-",MID(F88,1,1)*MID($F88,1,1),0))</f>
        <v>0</v>
      </c>
      <c r="I88" s="41"/>
      <c r="J88" s="41"/>
      <c r="K88" s="41"/>
      <c r="L88" s="41"/>
      <c r="M88" s="41"/>
      <c r="N88" s="40"/>
      <c r="O88" s="40"/>
      <c r="P88" s="42"/>
      <c r="Q88" s="41"/>
      <c r="R88" s="23"/>
    </row>
    <row r="89" spans="1:18" x14ac:dyDescent="0.3">
      <c r="A89" s="80" t="s">
        <v>148</v>
      </c>
      <c r="B89" s="105" t="s">
        <v>348</v>
      </c>
      <c r="C89" s="123" t="s">
        <v>368</v>
      </c>
      <c r="D89" s="4" t="s">
        <v>32</v>
      </c>
      <c r="E89" s="4" t="s">
        <v>34</v>
      </c>
      <c r="F89" s="87" t="s">
        <v>20</v>
      </c>
      <c r="G89" s="49">
        <f t="shared" si="32"/>
        <v>0</v>
      </c>
      <c r="H89" s="50">
        <f t="shared" si="33"/>
        <v>0</v>
      </c>
      <c r="I89" s="41"/>
      <c r="J89" s="41"/>
      <c r="K89" s="41"/>
      <c r="L89" s="41"/>
      <c r="M89" s="41"/>
      <c r="N89" s="40"/>
      <c r="O89" s="40"/>
      <c r="P89" s="42"/>
      <c r="Q89" s="41"/>
      <c r="R89" s="23"/>
    </row>
    <row r="90" spans="1:18" ht="16.8" x14ac:dyDescent="0.4">
      <c r="A90" s="80" t="s">
        <v>149</v>
      </c>
      <c r="B90" s="97" t="s">
        <v>349</v>
      </c>
      <c r="C90" s="123" t="s">
        <v>369</v>
      </c>
      <c r="D90" s="4" t="s">
        <v>18</v>
      </c>
      <c r="E90" s="4" t="s">
        <v>42</v>
      </c>
      <c r="F90" s="31" t="s">
        <v>20</v>
      </c>
      <c r="G90" s="49">
        <f t="shared" si="32"/>
        <v>0</v>
      </c>
      <c r="H90" s="50">
        <f t="shared" si="33"/>
        <v>0</v>
      </c>
      <c r="I90" s="41"/>
      <c r="J90" s="41"/>
      <c r="K90" s="41"/>
      <c r="L90" s="41"/>
      <c r="M90" s="41"/>
      <c r="N90" s="40"/>
      <c r="O90" s="40"/>
      <c r="P90" s="42"/>
      <c r="Q90" s="41"/>
      <c r="R90" s="23"/>
    </row>
    <row r="91" spans="1:18" ht="15.6" x14ac:dyDescent="0.3">
      <c r="A91" s="80" t="s">
        <v>150</v>
      </c>
      <c r="B91" s="105" t="s">
        <v>350</v>
      </c>
      <c r="C91" s="123" t="s">
        <v>370</v>
      </c>
      <c r="D91" s="4" t="s">
        <v>32</v>
      </c>
      <c r="E91" s="4" t="s">
        <v>27</v>
      </c>
      <c r="F91" s="31" t="s">
        <v>20</v>
      </c>
      <c r="G91" s="49">
        <f t="shared" si="32"/>
        <v>0</v>
      </c>
      <c r="H91" s="50">
        <f t="shared" si="33"/>
        <v>0</v>
      </c>
      <c r="I91" s="41"/>
      <c r="J91" s="41"/>
      <c r="K91" s="41"/>
      <c r="L91" s="41"/>
      <c r="M91" s="41"/>
      <c r="N91" s="40"/>
      <c r="O91" s="40"/>
      <c r="P91" s="42"/>
      <c r="Q91" s="41"/>
      <c r="R91" s="23"/>
    </row>
    <row r="92" spans="1:18" ht="15.6" customHeight="1" x14ac:dyDescent="0.3">
      <c r="A92" s="80" t="s">
        <v>151</v>
      </c>
      <c r="B92" s="105" t="s">
        <v>351</v>
      </c>
      <c r="C92" s="123" t="s">
        <v>371</v>
      </c>
      <c r="D92" s="4" t="s">
        <v>26</v>
      </c>
      <c r="E92" s="51" t="s">
        <v>152</v>
      </c>
      <c r="F92" s="87" t="s">
        <v>20</v>
      </c>
      <c r="G92" s="49">
        <f t="shared" si="32"/>
        <v>0</v>
      </c>
      <c r="H92" s="50">
        <f t="shared" si="33"/>
        <v>0</v>
      </c>
      <c r="I92" s="41"/>
      <c r="J92" s="41"/>
      <c r="K92" s="41"/>
      <c r="L92" s="41"/>
      <c r="M92" s="41"/>
      <c r="N92" s="40"/>
      <c r="O92" s="40"/>
      <c r="P92" s="42"/>
      <c r="Q92" s="41"/>
      <c r="R92" s="23"/>
    </row>
    <row r="93" spans="1:18" ht="15.6" customHeight="1" x14ac:dyDescent="0.3">
      <c r="A93" s="80"/>
      <c r="B93" s="105" t="s">
        <v>352</v>
      </c>
      <c r="C93" s="123" t="s">
        <v>372</v>
      </c>
      <c r="D93" s="4" t="s">
        <v>32</v>
      </c>
      <c r="E93" s="51" t="s">
        <v>152</v>
      </c>
      <c r="F93" s="87" t="s">
        <v>20</v>
      </c>
      <c r="G93" s="49">
        <f t="shared" ref="G93:G96" si="34">VALUE(IF(F93&lt;&gt;"-",MID($F93,1,1),0))</f>
        <v>0</v>
      </c>
      <c r="H93" s="50">
        <f t="shared" ref="H93:H96" si="35">VALUE(IF(F93&lt;&gt;"-",MID(F93,1,1)*MID($F93,1,1),0))</f>
        <v>0</v>
      </c>
      <c r="I93" s="41"/>
      <c r="J93" s="41"/>
      <c r="K93" s="41"/>
      <c r="L93" s="41"/>
      <c r="M93" s="41"/>
      <c r="N93" s="40"/>
      <c r="O93" s="40"/>
      <c r="P93" s="42"/>
      <c r="Q93" s="41"/>
      <c r="R93" s="23"/>
    </row>
    <row r="94" spans="1:18" ht="15.6" customHeight="1" x14ac:dyDescent="0.3">
      <c r="A94" s="80"/>
      <c r="B94" s="105" t="s">
        <v>353</v>
      </c>
      <c r="C94" s="123" t="s">
        <v>373</v>
      </c>
      <c r="D94" s="4" t="s">
        <v>32</v>
      </c>
      <c r="E94" s="51" t="s">
        <v>152</v>
      </c>
      <c r="F94" s="31" t="s">
        <v>20</v>
      </c>
      <c r="G94" s="49">
        <f t="shared" si="34"/>
        <v>0</v>
      </c>
      <c r="H94" s="50">
        <f t="shared" si="35"/>
        <v>0</v>
      </c>
      <c r="I94" s="41"/>
      <c r="J94" s="41"/>
      <c r="K94" s="41"/>
      <c r="L94" s="41"/>
      <c r="M94" s="41"/>
      <c r="N94" s="40"/>
      <c r="O94" s="40"/>
      <c r="P94" s="42"/>
      <c r="Q94" s="41"/>
      <c r="R94" s="23"/>
    </row>
    <row r="95" spans="1:18" ht="15.6" customHeight="1" x14ac:dyDescent="0.3">
      <c r="A95" s="80"/>
      <c r="B95" s="105" t="s">
        <v>354</v>
      </c>
      <c r="C95" s="123" t="s">
        <v>374</v>
      </c>
      <c r="D95" s="4" t="s">
        <v>26</v>
      </c>
      <c r="E95" s="51" t="s">
        <v>152</v>
      </c>
      <c r="F95" s="31" t="s">
        <v>20</v>
      </c>
      <c r="G95" s="49">
        <f t="shared" si="34"/>
        <v>0</v>
      </c>
      <c r="H95" s="50">
        <f t="shared" si="35"/>
        <v>0</v>
      </c>
      <c r="I95" s="41"/>
      <c r="J95" s="41"/>
      <c r="K95" s="41"/>
      <c r="L95" s="41"/>
      <c r="M95" s="41"/>
      <c r="N95" s="40"/>
      <c r="O95" s="40"/>
      <c r="P95" s="42"/>
      <c r="Q95" s="41"/>
      <c r="R95" s="23"/>
    </row>
    <row r="96" spans="1:18" ht="15.6" customHeight="1" x14ac:dyDescent="0.3">
      <c r="A96" s="80"/>
      <c r="B96" s="105" t="s">
        <v>355</v>
      </c>
      <c r="C96" s="102" t="s">
        <v>361</v>
      </c>
      <c r="D96" s="4" t="s">
        <v>32</v>
      </c>
      <c r="E96" s="51" t="s">
        <v>152</v>
      </c>
      <c r="F96" s="31" t="s">
        <v>20</v>
      </c>
      <c r="G96" s="49">
        <f t="shared" si="34"/>
        <v>0</v>
      </c>
      <c r="H96" s="50">
        <f t="shared" si="35"/>
        <v>0</v>
      </c>
      <c r="I96" s="41"/>
      <c r="J96" s="41"/>
      <c r="K96" s="41"/>
      <c r="L96" s="41"/>
      <c r="M96" s="41"/>
      <c r="N96" s="40"/>
      <c r="O96" s="40"/>
      <c r="P96" s="42"/>
      <c r="Q96" s="41"/>
      <c r="R96" s="23"/>
    </row>
    <row r="97" spans="1:18" ht="15.6" customHeight="1" x14ac:dyDescent="0.3">
      <c r="A97" s="80"/>
      <c r="B97" s="105" t="s">
        <v>356</v>
      </c>
      <c r="C97" s="102" t="s">
        <v>362</v>
      </c>
      <c r="D97" s="4" t="s">
        <v>32</v>
      </c>
      <c r="E97" s="51"/>
      <c r="F97" s="31" t="s">
        <v>20</v>
      </c>
      <c r="G97" s="49">
        <f t="shared" ref="G97:G101" si="36">VALUE(IF(F97&lt;&gt;"-",MID($F97,1,1),0))</f>
        <v>0</v>
      </c>
      <c r="H97" s="50">
        <f t="shared" ref="H97:H101" si="37">VALUE(IF(F97&lt;&gt;"-",MID(F97,1,1)*MID($F97,1,1),0))</f>
        <v>0</v>
      </c>
      <c r="I97" s="41"/>
      <c r="J97" s="41"/>
      <c r="K97" s="41"/>
      <c r="L97" s="41"/>
      <c r="M97" s="41"/>
      <c r="N97" s="40"/>
      <c r="O97" s="40"/>
      <c r="P97" s="42"/>
      <c r="Q97" s="41"/>
      <c r="R97" s="23"/>
    </row>
    <row r="98" spans="1:18" ht="15.6" customHeight="1" x14ac:dyDescent="0.3">
      <c r="A98" s="80"/>
      <c r="B98" s="105" t="s">
        <v>357</v>
      </c>
      <c r="C98" s="102" t="s">
        <v>363</v>
      </c>
      <c r="D98" s="4" t="s">
        <v>18</v>
      </c>
      <c r="E98" s="51"/>
      <c r="F98" s="31" t="s">
        <v>20</v>
      </c>
      <c r="G98" s="49">
        <f t="shared" si="36"/>
        <v>0</v>
      </c>
      <c r="H98" s="50">
        <f t="shared" si="37"/>
        <v>0</v>
      </c>
      <c r="I98" s="41"/>
      <c r="J98" s="41"/>
      <c r="K98" s="41"/>
      <c r="L98" s="41"/>
      <c r="M98" s="41"/>
      <c r="N98" s="40"/>
      <c r="O98" s="40"/>
      <c r="P98" s="42"/>
      <c r="Q98" s="41"/>
      <c r="R98" s="23"/>
    </row>
    <row r="99" spans="1:18" ht="15.6" customHeight="1" x14ac:dyDescent="0.3">
      <c r="A99" s="80"/>
      <c r="B99" s="105" t="s">
        <v>358</v>
      </c>
      <c r="C99" s="102" t="s">
        <v>364</v>
      </c>
      <c r="D99" s="4" t="s">
        <v>26</v>
      </c>
      <c r="E99" s="51"/>
      <c r="F99" s="87" t="s">
        <v>20</v>
      </c>
      <c r="G99" s="49">
        <f t="shared" si="36"/>
        <v>0</v>
      </c>
      <c r="H99" s="50">
        <f t="shared" si="37"/>
        <v>0</v>
      </c>
      <c r="I99" s="41"/>
      <c r="J99" s="41"/>
      <c r="K99" s="41"/>
      <c r="L99" s="41"/>
      <c r="M99" s="41"/>
      <c r="N99" s="40"/>
      <c r="O99" s="40"/>
      <c r="P99" s="42"/>
      <c r="Q99" s="41"/>
      <c r="R99" s="23"/>
    </row>
    <row r="100" spans="1:18" ht="15.6" customHeight="1" x14ac:dyDescent="0.3">
      <c r="A100" s="80"/>
      <c r="B100" s="105" t="s">
        <v>359</v>
      </c>
      <c r="C100" s="102" t="s">
        <v>365</v>
      </c>
      <c r="D100" s="4" t="s">
        <v>18</v>
      </c>
      <c r="E100" s="51"/>
      <c r="F100" s="87" t="s">
        <v>20</v>
      </c>
      <c r="G100" s="49">
        <f t="shared" si="36"/>
        <v>0</v>
      </c>
      <c r="H100" s="50">
        <f t="shared" si="37"/>
        <v>0</v>
      </c>
      <c r="I100" s="41"/>
      <c r="J100" s="41"/>
      <c r="K100" s="41"/>
      <c r="L100" s="41"/>
      <c r="M100" s="41"/>
      <c r="N100" s="40"/>
      <c r="O100" s="40"/>
      <c r="P100" s="42"/>
      <c r="Q100" s="41"/>
      <c r="R100" s="23"/>
    </row>
    <row r="101" spans="1:18" ht="15.6" customHeight="1" thickBot="1" x14ac:dyDescent="0.35">
      <c r="A101" s="80"/>
      <c r="B101" s="105" t="s">
        <v>360</v>
      </c>
      <c r="C101" s="102" t="s">
        <v>366</v>
      </c>
      <c r="D101" s="4" t="s">
        <v>18</v>
      </c>
      <c r="E101" s="51" t="s">
        <v>152</v>
      </c>
      <c r="F101" s="31" t="s">
        <v>20</v>
      </c>
      <c r="G101" s="49">
        <f t="shared" si="36"/>
        <v>0</v>
      </c>
      <c r="H101" s="50">
        <f t="shared" si="37"/>
        <v>0</v>
      </c>
      <c r="I101" s="41"/>
      <c r="J101" s="41"/>
      <c r="K101" s="41"/>
      <c r="L101" s="41"/>
      <c r="M101" s="41"/>
      <c r="N101" s="40"/>
      <c r="O101" s="40"/>
      <c r="P101" s="42"/>
      <c r="Q101" s="41"/>
      <c r="R101" s="23"/>
    </row>
    <row r="102" spans="1:18" x14ac:dyDescent="0.3">
      <c r="A102" s="23"/>
      <c r="B102" s="7" t="s">
        <v>153</v>
      </c>
      <c r="C102" s="20"/>
      <c r="D102" s="20"/>
      <c r="E102" s="91"/>
      <c r="F102" s="22"/>
      <c r="G102" s="22"/>
      <c r="H102" s="22"/>
      <c r="I102" s="41"/>
      <c r="J102" s="41"/>
      <c r="K102" s="41"/>
      <c r="L102" s="41"/>
      <c r="M102" s="41"/>
      <c r="N102" s="40"/>
      <c r="O102" s="40"/>
      <c r="P102" s="42"/>
      <c r="Q102" s="41"/>
      <c r="R102" s="23"/>
    </row>
    <row r="103" spans="1:18" ht="28.8" x14ac:dyDescent="0.3">
      <c r="A103" s="80" t="s">
        <v>154</v>
      </c>
      <c r="B103" s="12" t="s">
        <v>320</v>
      </c>
      <c r="C103" s="17" t="s">
        <v>155</v>
      </c>
      <c r="D103" s="4" t="s">
        <v>18</v>
      </c>
      <c r="E103" s="3" t="s">
        <v>156</v>
      </c>
      <c r="F103" s="88" t="s">
        <v>20</v>
      </c>
      <c r="G103" s="49">
        <f t="shared" ref="G103:G109" si="38">VALUE(IF(F103&lt;&gt;"-",MID($F103,1,1),0))</f>
        <v>0</v>
      </c>
      <c r="H103" s="50">
        <f t="shared" ref="H103:H109" si="39">VALUE(IF(F103&lt;&gt;"-",MID(F103,1,1)*MID($F103,1,1),0))</f>
        <v>0</v>
      </c>
      <c r="I103" s="41"/>
      <c r="J103" s="41"/>
      <c r="K103" s="41"/>
      <c r="L103" s="41" t="s">
        <v>21</v>
      </c>
      <c r="M103" s="41"/>
      <c r="N103" s="40" t="s">
        <v>21</v>
      </c>
      <c r="O103" s="40" t="s">
        <v>21</v>
      </c>
      <c r="P103" s="42"/>
      <c r="Q103" s="41"/>
      <c r="R103" s="23"/>
    </row>
    <row r="104" spans="1:18" x14ac:dyDescent="0.3">
      <c r="A104" s="80" t="s">
        <v>157</v>
      </c>
      <c r="B104" s="12" t="s">
        <v>321</v>
      </c>
      <c r="C104" s="19" t="s">
        <v>322</v>
      </c>
      <c r="D104" s="4" t="s">
        <v>18</v>
      </c>
      <c r="E104" s="4" t="s">
        <v>152</v>
      </c>
      <c r="F104" s="89" t="s">
        <v>20</v>
      </c>
      <c r="G104" s="49">
        <f t="shared" si="38"/>
        <v>0</v>
      </c>
      <c r="H104" s="50">
        <f t="shared" si="39"/>
        <v>0</v>
      </c>
      <c r="I104" s="41"/>
      <c r="J104" s="41"/>
      <c r="K104" s="41"/>
      <c r="L104" s="41"/>
      <c r="M104" s="41"/>
      <c r="N104" s="40" t="s">
        <v>21</v>
      </c>
      <c r="O104" s="40"/>
      <c r="P104" s="42"/>
      <c r="Q104" s="41" t="s">
        <v>21</v>
      </c>
      <c r="R104" s="23"/>
    </row>
    <row r="105" spans="1:18" ht="28.8" x14ac:dyDescent="0.3">
      <c r="A105" s="80" t="s">
        <v>158</v>
      </c>
      <c r="B105" s="12" t="s">
        <v>324</v>
      </c>
      <c r="C105" s="19" t="s">
        <v>323</v>
      </c>
      <c r="D105" s="4" t="s">
        <v>18</v>
      </c>
      <c r="E105" s="4" t="s">
        <v>152</v>
      </c>
      <c r="F105" s="47" t="s">
        <v>20</v>
      </c>
      <c r="G105" s="49">
        <f t="shared" si="38"/>
        <v>0</v>
      </c>
      <c r="H105" s="50">
        <f t="shared" si="39"/>
        <v>0</v>
      </c>
      <c r="I105" s="41"/>
      <c r="J105" s="41"/>
      <c r="K105" s="41" t="s">
        <v>21</v>
      </c>
      <c r="L105" s="41"/>
      <c r="M105" s="41"/>
      <c r="N105" s="40"/>
      <c r="O105" s="40"/>
      <c r="P105" s="42"/>
      <c r="Q105" s="41" t="s">
        <v>21</v>
      </c>
      <c r="R105" s="23"/>
    </row>
    <row r="106" spans="1:18" ht="79.2" customHeight="1" x14ac:dyDescent="0.3">
      <c r="A106" s="80"/>
      <c r="B106" s="106" t="s">
        <v>330</v>
      </c>
      <c r="C106" s="17" t="s">
        <v>325</v>
      </c>
      <c r="D106" s="4" t="s">
        <v>26</v>
      </c>
      <c r="E106" s="4"/>
      <c r="F106" s="93"/>
      <c r="G106" s="49"/>
      <c r="H106" s="50"/>
      <c r="I106" s="41"/>
      <c r="J106" s="41"/>
      <c r="K106" s="41"/>
      <c r="L106" s="41"/>
      <c r="M106" s="41"/>
      <c r="N106" s="40"/>
      <c r="O106" s="40"/>
      <c r="P106" s="42"/>
      <c r="Q106" s="41"/>
      <c r="R106" s="23"/>
    </row>
    <row r="107" spans="1:18" ht="43.2" x14ac:dyDescent="0.3">
      <c r="A107" s="80" t="s">
        <v>159</v>
      </c>
      <c r="B107" s="107" t="s">
        <v>327</v>
      </c>
      <c r="C107" s="19" t="s">
        <v>326</v>
      </c>
      <c r="D107" s="4" t="s">
        <v>26</v>
      </c>
      <c r="E107" s="4" t="s">
        <v>34</v>
      </c>
      <c r="F107" s="31" t="s">
        <v>20</v>
      </c>
      <c r="G107" s="49">
        <f t="shared" si="38"/>
        <v>0</v>
      </c>
      <c r="H107" s="50">
        <f t="shared" si="39"/>
        <v>0</v>
      </c>
      <c r="I107" s="41"/>
      <c r="J107" s="41"/>
      <c r="K107" s="41" t="s">
        <v>21</v>
      </c>
      <c r="L107" s="41"/>
      <c r="M107" s="41"/>
      <c r="N107" s="40"/>
      <c r="O107" s="40"/>
      <c r="P107" s="42"/>
      <c r="Q107" s="41" t="s">
        <v>21</v>
      </c>
      <c r="R107" s="23"/>
    </row>
    <row r="108" spans="1:18" x14ac:dyDescent="0.3">
      <c r="A108" s="80" t="s">
        <v>160</v>
      </c>
      <c r="B108" s="107" t="s">
        <v>329</v>
      </c>
      <c r="C108" s="17" t="s">
        <v>331</v>
      </c>
      <c r="D108" s="4" t="s">
        <v>26</v>
      </c>
      <c r="E108" s="4"/>
      <c r="F108" s="31" t="s">
        <v>20</v>
      </c>
      <c r="G108" s="49">
        <f t="shared" ref="G108" si="40">VALUE(IF(F108&lt;&gt;"-",MID($F108,1,1),0))</f>
        <v>0</v>
      </c>
      <c r="H108" s="50">
        <f t="shared" ref="H108" si="41">VALUE(IF(F108&lt;&gt;"-",MID(F108,1,1)*MID($F108,1,1),0))</f>
        <v>0</v>
      </c>
      <c r="I108" s="41"/>
      <c r="J108" s="41"/>
      <c r="K108" s="41"/>
      <c r="L108" s="41"/>
      <c r="M108" s="41"/>
      <c r="N108" s="40"/>
      <c r="O108" s="40"/>
      <c r="P108" s="42"/>
      <c r="Q108" s="41"/>
      <c r="R108" s="23"/>
    </row>
    <row r="109" spans="1:18" ht="15" thickBot="1" x14ac:dyDescent="0.35">
      <c r="A109" s="80" t="s">
        <v>161</v>
      </c>
      <c r="B109" s="12" t="s">
        <v>328</v>
      </c>
      <c r="C109" s="17" t="s">
        <v>162</v>
      </c>
      <c r="D109" s="4" t="s">
        <v>32</v>
      </c>
      <c r="E109" s="4" t="s">
        <v>34</v>
      </c>
      <c r="F109" s="31" t="s">
        <v>20</v>
      </c>
      <c r="G109" s="49">
        <f t="shared" si="38"/>
        <v>0</v>
      </c>
      <c r="H109" s="50">
        <f t="shared" si="39"/>
        <v>0</v>
      </c>
      <c r="I109" s="41"/>
      <c r="J109" s="41"/>
      <c r="K109" s="41"/>
      <c r="L109" s="41" t="s">
        <v>21</v>
      </c>
      <c r="M109" s="41"/>
      <c r="N109" s="40"/>
      <c r="O109" s="40"/>
      <c r="P109" s="42" t="s">
        <v>21</v>
      </c>
      <c r="Q109" s="41"/>
      <c r="R109" s="23"/>
    </row>
    <row r="110" spans="1:18" x14ac:dyDescent="0.3">
      <c r="A110" s="80"/>
      <c r="B110" s="6" t="s">
        <v>163</v>
      </c>
      <c r="C110" s="20"/>
      <c r="D110" s="20"/>
      <c r="E110" s="91"/>
      <c r="F110" s="22"/>
      <c r="G110" s="22"/>
      <c r="H110" s="22"/>
      <c r="I110" s="41"/>
      <c r="J110" s="41"/>
      <c r="K110" s="41"/>
      <c r="L110" s="41"/>
      <c r="M110" s="41"/>
      <c r="N110" s="40"/>
      <c r="O110" s="40"/>
      <c r="P110" s="42"/>
      <c r="Q110" s="41"/>
      <c r="R110" s="23"/>
    </row>
    <row r="111" spans="1:18" ht="28.8" x14ac:dyDescent="0.3">
      <c r="A111" s="80" t="s">
        <v>164</v>
      </c>
      <c r="B111" s="12" t="s">
        <v>165</v>
      </c>
      <c r="C111" s="16" t="s">
        <v>166</v>
      </c>
      <c r="D111" s="3" t="s">
        <v>26</v>
      </c>
      <c r="E111" s="3" t="s">
        <v>19</v>
      </c>
      <c r="F111" s="31" t="s">
        <v>20</v>
      </c>
      <c r="G111" s="49">
        <f t="shared" ref="G111:G116" si="42">VALUE(IF(F111&lt;&gt;"-",MID($F111,1,1),0))</f>
        <v>0</v>
      </c>
      <c r="H111" s="50">
        <f t="shared" ref="H111:H116" si="43">VALUE(IF(F111&lt;&gt;"-",MID(F111,1,1)*MID($F111,1,1),0))</f>
        <v>0</v>
      </c>
      <c r="I111" s="41"/>
      <c r="J111" s="41"/>
      <c r="K111" s="41"/>
      <c r="L111" s="41" t="s">
        <v>21</v>
      </c>
      <c r="M111" s="41"/>
      <c r="N111" s="40" t="s">
        <v>21</v>
      </c>
      <c r="O111" s="40"/>
      <c r="P111" s="42"/>
      <c r="Q111" s="41"/>
      <c r="R111" s="23"/>
    </row>
    <row r="112" spans="1:18" ht="28.8" x14ac:dyDescent="0.3">
      <c r="A112" s="80" t="s">
        <v>58</v>
      </c>
      <c r="B112" s="12" t="s">
        <v>167</v>
      </c>
      <c r="C112" s="17" t="s">
        <v>168</v>
      </c>
      <c r="D112" s="4" t="s">
        <v>26</v>
      </c>
      <c r="E112" s="4" t="s">
        <v>61</v>
      </c>
      <c r="F112" s="31" t="s">
        <v>20</v>
      </c>
      <c r="G112" s="49">
        <f t="shared" si="42"/>
        <v>0</v>
      </c>
      <c r="H112" s="50">
        <f t="shared" si="43"/>
        <v>0</v>
      </c>
      <c r="I112" s="41"/>
      <c r="J112" s="41"/>
      <c r="K112" s="41"/>
      <c r="L112" s="41" t="s">
        <v>21</v>
      </c>
      <c r="M112" s="41"/>
      <c r="N112" s="40" t="s">
        <v>21</v>
      </c>
      <c r="O112" s="40"/>
      <c r="P112" s="42"/>
      <c r="Q112" s="41"/>
      <c r="R112" s="23"/>
    </row>
    <row r="113" spans="1:18" x14ac:dyDescent="0.3">
      <c r="A113" s="80" t="s">
        <v>169</v>
      </c>
      <c r="B113" s="9" t="s">
        <v>259</v>
      </c>
      <c r="C113" s="17" t="s">
        <v>170</v>
      </c>
      <c r="D113" s="4" t="s">
        <v>26</v>
      </c>
      <c r="E113" s="4" t="s">
        <v>45</v>
      </c>
      <c r="F113" s="31" t="s">
        <v>20</v>
      </c>
      <c r="G113" s="49">
        <f t="shared" si="42"/>
        <v>0</v>
      </c>
      <c r="H113" s="50">
        <f t="shared" si="43"/>
        <v>0</v>
      </c>
      <c r="I113" s="41"/>
      <c r="J113" s="41"/>
      <c r="K113" s="41"/>
      <c r="L113" s="41" t="s">
        <v>21</v>
      </c>
      <c r="M113" s="41"/>
      <c r="N113" s="40" t="s">
        <v>21</v>
      </c>
      <c r="O113" s="40"/>
      <c r="P113" s="42"/>
      <c r="Q113" s="41"/>
      <c r="R113" s="23"/>
    </row>
    <row r="114" spans="1:18" x14ac:dyDescent="0.3">
      <c r="A114" s="80" t="s">
        <v>171</v>
      </c>
      <c r="B114" s="101" t="s">
        <v>278</v>
      </c>
      <c r="C114" s="17" t="s">
        <v>314</v>
      </c>
      <c r="D114" s="4" t="s">
        <v>26</v>
      </c>
      <c r="E114" s="4" t="s">
        <v>27</v>
      </c>
      <c r="F114" s="31" t="s">
        <v>20</v>
      </c>
      <c r="G114" s="49">
        <f t="shared" si="42"/>
        <v>0</v>
      </c>
      <c r="H114" s="50">
        <f t="shared" si="43"/>
        <v>0</v>
      </c>
      <c r="I114" s="41"/>
      <c r="J114" s="41"/>
      <c r="K114" s="41"/>
      <c r="L114" s="41" t="s">
        <v>21</v>
      </c>
      <c r="M114" s="41"/>
      <c r="N114" s="40" t="s">
        <v>21</v>
      </c>
      <c r="O114" s="40"/>
      <c r="P114" s="42"/>
      <c r="Q114" s="41"/>
      <c r="R114" s="23"/>
    </row>
    <row r="115" spans="1:18" x14ac:dyDescent="0.3">
      <c r="A115" s="80" t="s">
        <v>172</v>
      </c>
      <c r="B115" s="9" t="s">
        <v>260</v>
      </c>
      <c r="C115" s="17" t="s">
        <v>315</v>
      </c>
      <c r="D115" s="11" t="s">
        <v>32</v>
      </c>
      <c r="E115" s="51" t="s">
        <v>85</v>
      </c>
      <c r="F115" s="73" t="s">
        <v>20</v>
      </c>
      <c r="G115" s="49">
        <f t="shared" si="42"/>
        <v>0</v>
      </c>
      <c r="H115" s="50">
        <f t="shared" si="43"/>
        <v>0</v>
      </c>
      <c r="I115" s="41"/>
      <c r="J115" s="41"/>
      <c r="K115" s="41"/>
      <c r="L115" s="41" t="s">
        <v>21</v>
      </c>
      <c r="M115" s="41"/>
      <c r="N115" s="40" t="s">
        <v>21</v>
      </c>
      <c r="O115" s="40"/>
      <c r="P115" s="42"/>
      <c r="Q115" s="41"/>
      <c r="R115" s="23"/>
    </row>
    <row r="116" spans="1:18" ht="28.8" x14ac:dyDescent="0.3">
      <c r="A116" s="80" t="s">
        <v>173</v>
      </c>
      <c r="B116" s="113" t="s">
        <v>269</v>
      </c>
      <c r="C116" s="114" t="s">
        <v>86</v>
      </c>
      <c r="D116" s="10" t="s">
        <v>26</v>
      </c>
      <c r="E116" s="4" t="s">
        <v>27</v>
      </c>
      <c r="F116" s="31" t="s">
        <v>20</v>
      </c>
      <c r="G116" s="49">
        <f t="shared" si="42"/>
        <v>0</v>
      </c>
      <c r="H116" s="50">
        <f t="shared" si="43"/>
        <v>0</v>
      </c>
      <c r="I116" s="41"/>
      <c r="J116" s="41"/>
      <c r="K116" s="41"/>
      <c r="L116" s="41" t="s">
        <v>21</v>
      </c>
      <c r="M116" s="41"/>
      <c r="N116" s="40" t="s">
        <v>21</v>
      </c>
      <c r="O116" s="40"/>
      <c r="P116" s="42" t="s">
        <v>21</v>
      </c>
      <c r="Q116" s="41"/>
      <c r="R116" s="23"/>
    </row>
    <row r="117" spans="1:18" x14ac:dyDescent="0.3">
      <c r="A117" s="23"/>
      <c r="B117" s="23"/>
      <c r="C117" s="23"/>
      <c r="D117" s="23"/>
      <c r="E117" s="23"/>
      <c r="F117" s="23"/>
      <c r="G117" s="23"/>
      <c r="H117" s="23"/>
      <c r="I117" s="39"/>
      <c r="J117" s="39"/>
      <c r="K117" s="39"/>
      <c r="L117" s="39"/>
      <c r="M117" s="39"/>
      <c r="N117" s="39"/>
      <c r="O117" s="39"/>
      <c r="P117" s="39"/>
      <c r="Q117" s="39"/>
      <c r="R117" s="23"/>
    </row>
  </sheetData>
  <conditionalFormatting sqref="F8 F105:F106">
    <cfRule type="expression" dxfId="499" priority="1266">
      <formula>IF(F8=4,TRUE,FALSE)</formula>
    </cfRule>
    <cfRule type="expression" dxfId="498" priority="1267">
      <formula>IF(F8=3,TRUE,FALSE)</formula>
    </cfRule>
    <cfRule type="expression" dxfId="497" priority="1268">
      <formula>IF(F8=2,TRUE,FALSE)</formula>
    </cfRule>
    <cfRule type="expression" dxfId="496" priority="1269">
      <formula>IF(F8=1,TRUE,FALSE)</formula>
    </cfRule>
    <cfRule type="expression" dxfId="495" priority="1270">
      <formula>IF(F8=0,TRUE,FALSE)</formula>
    </cfRule>
  </conditionalFormatting>
  <conditionalFormatting sqref="F54">
    <cfRule type="expression" dxfId="494" priority="1046">
      <formula>IF(F54=4,TRUE,FALSE)</formula>
    </cfRule>
    <cfRule type="expression" dxfId="493" priority="1047">
      <formula>IF(F54=3,TRUE,FALSE)</formula>
    </cfRule>
    <cfRule type="expression" dxfId="492" priority="1048">
      <formula>IF(F54=2,TRUE,FALSE)</formula>
    </cfRule>
    <cfRule type="expression" dxfId="491" priority="1049">
      <formula>IF(F54=1,TRUE,FALSE)</formula>
    </cfRule>
    <cfRule type="expression" dxfId="490" priority="1050">
      <formula>IF(F54=0,TRUE,FALSE)</formula>
    </cfRule>
  </conditionalFormatting>
  <conditionalFormatting sqref="F75">
    <cfRule type="expression" dxfId="489" priority="976">
      <formula>IF(F75=4,TRUE,FALSE)</formula>
    </cfRule>
    <cfRule type="expression" dxfId="488" priority="977">
      <formula>IF(F75=3,TRUE,FALSE)</formula>
    </cfRule>
    <cfRule type="expression" dxfId="487" priority="978">
      <formula>IF(F75=2,TRUE,FALSE)</formula>
    </cfRule>
    <cfRule type="expression" dxfId="486" priority="979">
      <formula>IF(F75=1,TRUE,FALSE)</formula>
    </cfRule>
    <cfRule type="expression" dxfId="485" priority="980">
      <formula>IF(F75=0,TRUE,FALSE)</formula>
    </cfRule>
  </conditionalFormatting>
  <conditionalFormatting sqref="F103">
    <cfRule type="expression" dxfId="484" priority="811">
      <formula>IF(F103=4,TRUE,FALSE)</formula>
    </cfRule>
    <cfRule type="expression" dxfId="483" priority="812">
      <formula>IF(F103=3,TRUE,FALSE)</formula>
    </cfRule>
    <cfRule type="expression" dxfId="482" priority="813">
      <formula>IF(F103=2,TRUE,FALSE)</formula>
    </cfRule>
    <cfRule type="expression" dxfId="481" priority="814">
      <formula>IF(F103=1,TRUE,FALSE)</formula>
    </cfRule>
    <cfRule type="expression" dxfId="480" priority="815">
      <formula>IF(F103=0,TRUE,FALSE)</formula>
    </cfRule>
  </conditionalFormatting>
  <conditionalFormatting sqref="F104">
    <cfRule type="expression" dxfId="479" priority="806">
      <formula>IF(F104=4,TRUE,FALSE)</formula>
    </cfRule>
    <cfRule type="expression" dxfId="478" priority="807">
      <formula>IF(F104=3,TRUE,FALSE)</formula>
    </cfRule>
    <cfRule type="expression" dxfId="477" priority="808">
      <formula>IF(F104=2,TRUE,FALSE)</formula>
    </cfRule>
    <cfRule type="expression" dxfId="476" priority="809">
      <formula>IF(F104=1,TRUE,FALSE)</formula>
    </cfRule>
    <cfRule type="expression" dxfId="475" priority="810">
      <formula>IF(F104=0,TRUE,FALSE)</formula>
    </cfRule>
  </conditionalFormatting>
  <conditionalFormatting sqref="F115">
    <cfRule type="expression" dxfId="474" priority="731">
      <formula>IF(F115=4,TRUE,FALSE)</formula>
    </cfRule>
    <cfRule type="expression" dxfId="473" priority="732">
      <formula>IF(F115=3,TRUE,FALSE)</formula>
    </cfRule>
    <cfRule type="expression" dxfId="472" priority="733">
      <formula>IF(F115=2,TRUE,FALSE)</formula>
    </cfRule>
    <cfRule type="expression" dxfId="471" priority="734">
      <formula>IF(F115=1,TRUE,FALSE)</formula>
    </cfRule>
    <cfRule type="expression" dxfId="470" priority="735">
      <formula>IF(F115=0,TRUE,FALSE)</formula>
    </cfRule>
  </conditionalFormatting>
  <conditionalFormatting sqref="F3:F4">
    <cfRule type="expression" dxfId="469" priority="706">
      <formula>IF(F3=4,TRUE,FALSE)</formula>
    </cfRule>
    <cfRule type="expression" dxfId="468" priority="707">
      <formula>IF(F3=3,TRUE,FALSE)</formula>
    </cfRule>
    <cfRule type="expression" dxfId="467" priority="708">
      <formula>IF(F3=2,TRUE,FALSE)</formula>
    </cfRule>
    <cfRule type="expression" dxfId="466" priority="709">
      <formula>IF(F3=1,TRUE,FALSE)</formula>
    </cfRule>
    <cfRule type="expression" dxfId="465" priority="710">
      <formula>IF(F3=0,TRUE,FALSE)</formula>
    </cfRule>
  </conditionalFormatting>
  <conditionalFormatting sqref="F5">
    <cfRule type="expression" dxfId="464" priority="701">
      <formula>IF(F5=4,TRUE,FALSE)</formula>
    </cfRule>
    <cfRule type="expression" dxfId="463" priority="702">
      <formula>IF(F5=3,TRUE,FALSE)</formula>
    </cfRule>
    <cfRule type="expression" dxfId="462" priority="703">
      <formula>IF(F5=2,TRUE,FALSE)</formula>
    </cfRule>
    <cfRule type="expression" dxfId="461" priority="704">
      <formula>IF(F5=1,TRUE,FALSE)</formula>
    </cfRule>
    <cfRule type="expression" dxfId="460" priority="705">
      <formula>IF(F5=0,TRUE,FALSE)</formula>
    </cfRule>
  </conditionalFormatting>
  <conditionalFormatting sqref="F6">
    <cfRule type="expression" dxfId="459" priority="696">
      <formula>IF(F6=4,TRUE,FALSE)</formula>
    </cfRule>
    <cfRule type="expression" dxfId="458" priority="697">
      <formula>IF(F6=3,TRUE,FALSE)</formula>
    </cfRule>
    <cfRule type="expression" dxfId="457" priority="698">
      <formula>IF(F6=2,TRUE,FALSE)</formula>
    </cfRule>
    <cfRule type="expression" dxfId="456" priority="699">
      <formula>IF(F6=1,TRUE,FALSE)</formula>
    </cfRule>
    <cfRule type="expression" dxfId="455" priority="700">
      <formula>IF(F6=0,TRUE,FALSE)</formula>
    </cfRule>
  </conditionalFormatting>
  <conditionalFormatting sqref="F7">
    <cfRule type="expression" dxfId="454" priority="691">
      <formula>IF(F7=4,TRUE,FALSE)</formula>
    </cfRule>
    <cfRule type="expression" dxfId="453" priority="692">
      <formula>IF(F7=3,TRUE,FALSE)</formula>
    </cfRule>
    <cfRule type="expression" dxfId="452" priority="693">
      <formula>IF(F7=2,TRUE,FALSE)</formula>
    </cfRule>
    <cfRule type="expression" dxfId="451" priority="694">
      <formula>IF(F7=1,TRUE,FALSE)</formula>
    </cfRule>
    <cfRule type="expression" dxfId="450" priority="695">
      <formula>IF(F7=0,TRUE,FALSE)</formula>
    </cfRule>
  </conditionalFormatting>
  <conditionalFormatting sqref="F9:F10">
    <cfRule type="expression" dxfId="449" priority="686">
      <formula>IF(F9=4,TRUE,FALSE)</formula>
    </cfRule>
    <cfRule type="expression" dxfId="448" priority="687">
      <formula>IF(F9=3,TRUE,FALSE)</formula>
    </cfRule>
    <cfRule type="expression" dxfId="447" priority="688">
      <formula>IF(F9=2,TRUE,FALSE)</formula>
    </cfRule>
    <cfRule type="expression" dxfId="446" priority="689">
      <formula>IF(F9=1,TRUE,FALSE)</formula>
    </cfRule>
    <cfRule type="expression" dxfId="445" priority="690">
      <formula>IF(F9=0,TRUE,FALSE)</formula>
    </cfRule>
  </conditionalFormatting>
  <conditionalFormatting sqref="F11">
    <cfRule type="expression" dxfId="444" priority="681">
      <formula>IF(F11=4,TRUE,FALSE)</formula>
    </cfRule>
    <cfRule type="expression" dxfId="443" priority="682">
      <formula>IF(F11=3,TRUE,FALSE)</formula>
    </cfRule>
    <cfRule type="expression" dxfId="442" priority="683">
      <formula>IF(F11=2,TRUE,FALSE)</formula>
    </cfRule>
    <cfRule type="expression" dxfId="441" priority="684">
      <formula>IF(F11=1,TRUE,FALSE)</formula>
    </cfRule>
    <cfRule type="expression" dxfId="440" priority="685">
      <formula>IF(F11=0,TRUE,FALSE)</formula>
    </cfRule>
  </conditionalFormatting>
  <conditionalFormatting sqref="F14">
    <cfRule type="expression" dxfId="439" priority="671">
      <formula>IF(F14=4,TRUE,FALSE)</formula>
    </cfRule>
    <cfRule type="expression" dxfId="438" priority="672">
      <formula>IF(F14=3,TRUE,FALSE)</formula>
    </cfRule>
    <cfRule type="expression" dxfId="437" priority="673">
      <formula>IF(F14=2,TRUE,FALSE)</formula>
    </cfRule>
    <cfRule type="expression" dxfId="436" priority="674">
      <formula>IF(F14=1,TRUE,FALSE)</formula>
    </cfRule>
    <cfRule type="expression" dxfId="435" priority="675">
      <formula>IF(F14=0,TRUE,FALSE)</formula>
    </cfRule>
  </conditionalFormatting>
  <conditionalFormatting sqref="F15">
    <cfRule type="expression" dxfId="434" priority="666">
      <formula>IF(F15=4,TRUE,FALSE)</formula>
    </cfRule>
    <cfRule type="expression" dxfId="433" priority="667">
      <formula>IF(F15=3,TRUE,FALSE)</formula>
    </cfRule>
    <cfRule type="expression" dxfId="432" priority="668">
      <formula>IF(F15=2,TRUE,FALSE)</formula>
    </cfRule>
    <cfRule type="expression" dxfId="431" priority="669">
      <formula>IF(F15=1,TRUE,FALSE)</formula>
    </cfRule>
    <cfRule type="expression" dxfId="430" priority="670">
      <formula>IF(F15=0,TRUE,FALSE)</formula>
    </cfRule>
  </conditionalFormatting>
  <conditionalFormatting sqref="F17">
    <cfRule type="expression" dxfId="429" priority="656">
      <formula>IF(F17=4,TRUE,FALSE)</formula>
    </cfRule>
    <cfRule type="expression" dxfId="428" priority="657">
      <formula>IF(F17=3,TRUE,FALSE)</formula>
    </cfRule>
    <cfRule type="expression" dxfId="427" priority="658">
      <formula>IF(F17=2,TRUE,FALSE)</formula>
    </cfRule>
    <cfRule type="expression" dxfId="426" priority="659">
      <formula>IF(F17=1,TRUE,FALSE)</formula>
    </cfRule>
    <cfRule type="expression" dxfId="425" priority="660">
      <formula>IF(F17=0,TRUE,FALSE)</formula>
    </cfRule>
  </conditionalFormatting>
  <conditionalFormatting sqref="F18">
    <cfRule type="expression" dxfId="424" priority="651">
      <formula>IF(F18=4,TRUE,FALSE)</formula>
    </cfRule>
    <cfRule type="expression" dxfId="423" priority="652">
      <formula>IF(F18=3,TRUE,FALSE)</formula>
    </cfRule>
    <cfRule type="expression" dxfId="422" priority="653">
      <formula>IF(F18=2,TRUE,FALSE)</formula>
    </cfRule>
    <cfRule type="expression" dxfId="421" priority="654">
      <formula>IF(F18=1,TRUE,FALSE)</formula>
    </cfRule>
    <cfRule type="expression" dxfId="420" priority="655">
      <formula>IF(F18=0,TRUE,FALSE)</formula>
    </cfRule>
  </conditionalFormatting>
  <conditionalFormatting sqref="F20">
    <cfRule type="expression" dxfId="419" priority="646">
      <formula>IF(F20=4,TRUE,FALSE)</formula>
    </cfRule>
    <cfRule type="expression" dxfId="418" priority="647">
      <formula>IF(F20=3,TRUE,FALSE)</formula>
    </cfRule>
    <cfRule type="expression" dxfId="417" priority="648">
      <formula>IF(F20=2,TRUE,FALSE)</formula>
    </cfRule>
    <cfRule type="expression" dxfId="416" priority="649">
      <formula>IF(F20=1,TRUE,FALSE)</formula>
    </cfRule>
    <cfRule type="expression" dxfId="415" priority="650">
      <formula>IF(F20=0,TRUE,FALSE)</formula>
    </cfRule>
  </conditionalFormatting>
  <conditionalFormatting sqref="F21">
    <cfRule type="expression" dxfId="414" priority="641">
      <formula>IF(F21=4,TRUE,FALSE)</formula>
    </cfRule>
    <cfRule type="expression" dxfId="413" priority="642">
      <formula>IF(F21=3,TRUE,FALSE)</formula>
    </cfRule>
    <cfRule type="expression" dxfId="412" priority="643">
      <formula>IF(F21=2,TRUE,FALSE)</formula>
    </cfRule>
    <cfRule type="expression" dxfId="411" priority="644">
      <formula>IF(F21=1,TRUE,FALSE)</formula>
    </cfRule>
    <cfRule type="expression" dxfId="410" priority="645">
      <formula>IF(F21=0,TRUE,FALSE)</formula>
    </cfRule>
  </conditionalFormatting>
  <conditionalFormatting sqref="F22">
    <cfRule type="expression" dxfId="409" priority="636">
      <formula>IF(F22=4,TRUE,FALSE)</formula>
    </cfRule>
    <cfRule type="expression" dxfId="408" priority="637">
      <formula>IF(F22=3,TRUE,FALSE)</formula>
    </cfRule>
    <cfRule type="expression" dxfId="407" priority="638">
      <formula>IF(F22=2,TRUE,FALSE)</formula>
    </cfRule>
    <cfRule type="expression" dxfId="406" priority="639">
      <formula>IF(F22=1,TRUE,FALSE)</formula>
    </cfRule>
    <cfRule type="expression" dxfId="405" priority="640">
      <formula>IF(F22=0,TRUE,FALSE)</formula>
    </cfRule>
  </conditionalFormatting>
  <conditionalFormatting sqref="F24">
    <cfRule type="expression" dxfId="404" priority="631">
      <formula>IF(F24=4,TRUE,FALSE)</formula>
    </cfRule>
    <cfRule type="expression" dxfId="403" priority="632">
      <formula>IF(F24=3,TRUE,FALSE)</formula>
    </cfRule>
    <cfRule type="expression" dxfId="402" priority="633">
      <formula>IF(F24=2,TRUE,FALSE)</formula>
    </cfRule>
    <cfRule type="expression" dxfId="401" priority="634">
      <formula>IF(F24=1,TRUE,FALSE)</formula>
    </cfRule>
    <cfRule type="expression" dxfId="400" priority="635">
      <formula>IF(F24=0,TRUE,FALSE)</formula>
    </cfRule>
  </conditionalFormatting>
  <conditionalFormatting sqref="F25">
    <cfRule type="expression" dxfId="399" priority="626">
      <formula>IF(F25=4,TRUE,FALSE)</formula>
    </cfRule>
    <cfRule type="expression" dxfId="398" priority="627">
      <formula>IF(F25=3,TRUE,FALSE)</formula>
    </cfRule>
    <cfRule type="expression" dxfId="397" priority="628">
      <formula>IF(F25=2,TRUE,FALSE)</formula>
    </cfRule>
    <cfRule type="expression" dxfId="396" priority="629">
      <formula>IF(F25=1,TRUE,FALSE)</formula>
    </cfRule>
    <cfRule type="expression" dxfId="395" priority="630">
      <formula>IF(F25=0,TRUE,FALSE)</formula>
    </cfRule>
  </conditionalFormatting>
  <conditionalFormatting sqref="F26">
    <cfRule type="expression" dxfId="394" priority="616">
      <formula>IF(F26=4,TRUE,FALSE)</formula>
    </cfRule>
    <cfRule type="expression" dxfId="393" priority="617">
      <formula>IF(F26=3,TRUE,FALSE)</formula>
    </cfRule>
    <cfRule type="expression" dxfId="392" priority="618">
      <formula>IF(F26=2,TRUE,FALSE)</formula>
    </cfRule>
    <cfRule type="expression" dxfId="391" priority="619">
      <formula>IF(F26=1,TRUE,FALSE)</formula>
    </cfRule>
    <cfRule type="expression" dxfId="390" priority="620">
      <formula>IF(F26=0,TRUE,FALSE)</formula>
    </cfRule>
  </conditionalFormatting>
  <conditionalFormatting sqref="F29">
    <cfRule type="expression" dxfId="389" priority="611">
      <formula>IF(F29=4,TRUE,FALSE)</formula>
    </cfRule>
    <cfRule type="expression" dxfId="388" priority="612">
      <formula>IF(F29=3,TRUE,FALSE)</formula>
    </cfRule>
    <cfRule type="expression" dxfId="387" priority="613">
      <formula>IF(F29=2,TRUE,FALSE)</formula>
    </cfRule>
    <cfRule type="expression" dxfId="386" priority="614">
      <formula>IF(F29=1,TRUE,FALSE)</formula>
    </cfRule>
    <cfRule type="expression" dxfId="385" priority="615">
      <formula>IF(F29=0,TRUE,FALSE)</formula>
    </cfRule>
  </conditionalFormatting>
  <conditionalFormatting sqref="F36">
    <cfRule type="expression" dxfId="384" priority="606">
      <formula>IF(F36=4,TRUE,FALSE)</formula>
    </cfRule>
    <cfRule type="expression" dxfId="383" priority="607">
      <formula>IF(F36=3,TRUE,FALSE)</formula>
    </cfRule>
    <cfRule type="expression" dxfId="382" priority="608">
      <formula>IF(F36=2,TRUE,FALSE)</formula>
    </cfRule>
    <cfRule type="expression" dxfId="381" priority="609">
      <formula>IF(F36=1,TRUE,FALSE)</formula>
    </cfRule>
    <cfRule type="expression" dxfId="380" priority="610">
      <formula>IF(F36=0,TRUE,FALSE)</formula>
    </cfRule>
  </conditionalFormatting>
  <conditionalFormatting sqref="F37">
    <cfRule type="expression" dxfId="379" priority="601">
      <formula>IF(F37=4,TRUE,FALSE)</formula>
    </cfRule>
    <cfRule type="expression" dxfId="378" priority="602">
      <formula>IF(F37=3,TRUE,FALSE)</formula>
    </cfRule>
    <cfRule type="expression" dxfId="377" priority="603">
      <formula>IF(F37=2,TRUE,FALSE)</formula>
    </cfRule>
    <cfRule type="expression" dxfId="376" priority="604">
      <formula>IF(F37=1,TRUE,FALSE)</formula>
    </cfRule>
    <cfRule type="expression" dxfId="375" priority="605">
      <formula>IF(F37=0,TRUE,FALSE)</formula>
    </cfRule>
  </conditionalFormatting>
  <conditionalFormatting sqref="F34">
    <cfRule type="expression" dxfId="374" priority="581">
      <formula>IF(F34=4,TRUE,FALSE)</formula>
    </cfRule>
    <cfRule type="expression" dxfId="373" priority="582">
      <formula>IF(F34=3,TRUE,FALSE)</formula>
    </cfRule>
    <cfRule type="expression" dxfId="372" priority="583">
      <formula>IF(F34=2,TRUE,FALSE)</formula>
    </cfRule>
    <cfRule type="expression" dxfId="371" priority="584">
      <formula>IF(F34=1,TRUE,FALSE)</formula>
    </cfRule>
    <cfRule type="expression" dxfId="370" priority="585">
      <formula>IF(F34=0,TRUE,FALSE)</formula>
    </cfRule>
  </conditionalFormatting>
  <conditionalFormatting sqref="F33">
    <cfRule type="expression" dxfId="369" priority="576">
      <formula>IF(F33=4,TRUE,FALSE)</formula>
    </cfRule>
    <cfRule type="expression" dxfId="368" priority="577">
      <formula>IF(F33=3,TRUE,FALSE)</formula>
    </cfRule>
    <cfRule type="expression" dxfId="367" priority="578">
      <formula>IF(F33=2,TRUE,FALSE)</formula>
    </cfRule>
    <cfRule type="expression" dxfId="366" priority="579">
      <formula>IF(F33=1,TRUE,FALSE)</formula>
    </cfRule>
    <cfRule type="expression" dxfId="365" priority="580">
      <formula>IF(F33=0,TRUE,FALSE)</formula>
    </cfRule>
  </conditionalFormatting>
  <conditionalFormatting sqref="F35">
    <cfRule type="expression" dxfId="364" priority="571">
      <formula>IF(F35=4,TRUE,FALSE)</formula>
    </cfRule>
    <cfRule type="expression" dxfId="363" priority="572">
      <formula>IF(F35=3,TRUE,FALSE)</formula>
    </cfRule>
    <cfRule type="expression" dxfId="362" priority="573">
      <formula>IF(F35=2,TRUE,FALSE)</formula>
    </cfRule>
    <cfRule type="expression" dxfId="361" priority="574">
      <formula>IF(F35=1,TRUE,FALSE)</formula>
    </cfRule>
    <cfRule type="expression" dxfId="360" priority="575">
      <formula>IF(F35=0,TRUE,FALSE)</formula>
    </cfRule>
  </conditionalFormatting>
  <conditionalFormatting sqref="F41:F43">
    <cfRule type="expression" dxfId="359" priority="556">
      <formula>IF(F41=4,TRUE,FALSE)</formula>
    </cfRule>
    <cfRule type="expression" dxfId="358" priority="557">
      <formula>IF(F41=3,TRUE,FALSE)</formula>
    </cfRule>
    <cfRule type="expression" dxfId="357" priority="558">
      <formula>IF(F41=2,TRUE,FALSE)</formula>
    </cfRule>
    <cfRule type="expression" dxfId="356" priority="559">
      <formula>IF(F41=1,TRUE,FALSE)</formula>
    </cfRule>
    <cfRule type="expression" dxfId="355" priority="560">
      <formula>IF(F41=0,TRUE,FALSE)</formula>
    </cfRule>
  </conditionalFormatting>
  <conditionalFormatting sqref="F44">
    <cfRule type="expression" dxfId="354" priority="551">
      <formula>IF(F44=4,TRUE,FALSE)</formula>
    </cfRule>
    <cfRule type="expression" dxfId="353" priority="552">
      <formula>IF(F44=3,TRUE,FALSE)</formula>
    </cfRule>
    <cfRule type="expression" dxfId="352" priority="553">
      <formula>IF(F44=2,TRUE,FALSE)</formula>
    </cfRule>
    <cfRule type="expression" dxfId="351" priority="554">
      <formula>IF(F44=1,TRUE,FALSE)</formula>
    </cfRule>
    <cfRule type="expression" dxfId="350" priority="555">
      <formula>IF(F44=0,TRUE,FALSE)</formula>
    </cfRule>
  </conditionalFormatting>
  <conditionalFormatting sqref="F45">
    <cfRule type="expression" dxfId="349" priority="546">
      <formula>IF(F45=4,TRUE,FALSE)</formula>
    </cfRule>
    <cfRule type="expression" dxfId="348" priority="547">
      <formula>IF(F45=3,TRUE,FALSE)</formula>
    </cfRule>
    <cfRule type="expression" dxfId="347" priority="548">
      <formula>IF(F45=2,TRUE,FALSE)</formula>
    </cfRule>
    <cfRule type="expression" dxfId="346" priority="549">
      <formula>IF(F45=1,TRUE,FALSE)</formula>
    </cfRule>
    <cfRule type="expression" dxfId="345" priority="550">
      <formula>IF(F45=0,TRUE,FALSE)</formula>
    </cfRule>
  </conditionalFormatting>
  <conditionalFormatting sqref="F52">
    <cfRule type="expression" dxfId="344" priority="531">
      <formula>IF(F52=4,TRUE,FALSE)</formula>
    </cfRule>
    <cfRule type="expression" dxfId="343" priority="532">
      <formula>IF(F52=3,TRUE,FALSE)</formula>
    </cfRule>
    <cfRule type="expression" dxfId="342" priority="533">
      <formula>IF(F52=2,TRUE,FALSE)</formula>
    </cfRule>
    <cfRule type="expression" dxfId="341" priority="534">
      <formula>IF(F52=1,TRUE,FALSE)</formula>
    </cfRule>
    <cfRule type="expression" dxfId="340" priority="535">
      <formula>IF(F52=0,TRUE,FALSE)</formula>
    </cfRule>
  </conditionalFormatting>
  <conditionalFormatting sqref="F48">
    <cfRule type="expression" dxfId="339" priority="526">
      <formula>IF(F48=4,TRUE,FALSE)</formula>
    </cfRule>
    <cfRule type="expression" dxfId="338" priority="527">
      <formula>IF(F48=3,TRUE,FALSE)</formula>
    </cfRule>
    <cfRule type="expression" dxfId="337" priority="528">
      <formula>IF(F48=2,TRUE,FALSE)</formula>
    </cfRule>
    <cfRule type="expression" dxfId="336" priority="529">
      <formula>IF(F48=1,TRUE,FALSE)</formula>
    </cfRule>
    <cfRule type="expression" dxfId="335" priority="530">
      <formula>IF(F48=0,TRUE,FALSE)</formula>
    </cfRule>
  </conditionalFormatting>
  <conditionalFormatting sqref="F50">
    <cfRule type="expression" dxfId="334" priority="521">
      <formula>IF(F50=4,TRUE,FALSE)</formula>
    </cfRule>
    <cfRule type="expression" dxfId="333" priority="522">
      <formula>IF(F50=3,TRUE,FALSE)</formula>
    </cfRule>
    <cfRule type="expression" dxfId="332" priority="523">
      <formula>IF(F50=2,TRUE,FALSE)</formula>
    </cfRule>
    <cfRule type="expression" dxfId="331" priority="524">
      <formula>IF(F50=1,TRUE,FALSE)</formula>
    </cfRule>
    <cfRule type="expression" dxfId="330" priority="525">
      <formula>IF(F50=0,TRUE,FALSE)</formula>
    </cfRule>
  </conditionalFormatting>
  <conditionalFormatting sqref="F55">
    <cfRule type="expression" dxfId="329" priority="516">
      <formula>IF(F55=4,TRUE,FALSE)</formula>
    </cfRule>
    <cfRule type="expression" dxfId="328" priority="517">
      <formula>IF(F55=3,TRUE,FALSE)</formula>
    </cfRule>
    <cfRule type="expression" dxfId="327" priority="518">
      <formula>IF(F55=2,TRUE,FALSE)</formula>
    </cfRule>
    <cfRule type="expression" dxfId="326" priority="519">
      <formula>IF(F55=1,TRUE,FALSE)</formula>
    </cfRule>
    <cfRule type="expression" dxfId="325" priority="520">
      <formula>IF(F55=0,TRUE,FALSE)</formula>
    </cfRule>
  </conditionalFormatting>
  <conditionalFormatting sqref="F53">
    <cfRule type="expression" dxfId="324" priority="506">
      <formula>IF(F53=4,TRUE,FALSE)</formula>
    </cfRule>
    <cfRule type="expression" dxfId="323" priority="507">
      <formula>IF(F53=3,TRUE,FALSE)</formula>
    </cfRule>
    <cfRule type="expression" dxfId="322" priority="508">
      <formula>IF(F53=2,TRUE,FALSE)</formula>
    </cfRule>
    <cfRule type="expression" dxfId="321" priority="509">
      <formula>IF(F53=1,TRUE,FALSE)</formula>
    </cfRule>
    <cfRule type="expression" dxfId="320" priority="510">
      <formula>IF(F53=0,TRUE,FALSE)</formula>
    </cfRule>
  </conditionalFormatting>
  <conditionalFormatting sqref="F51">
    <cfRule type="expression" dxfId="319" priority="496">
      <formula>IF(F51=4,TRUE,FALSE)</formula>
    </cfRule>
    <cfRule type="expression" dxfId="318" priority="497">
      <formula>IF(F51=3,TRUE,FALSE)</formula>
    </cfRule>
    <cfRule type="expression" dxfId="317" priority="498">
      <formula>IF(F51=2,TRUE,FALSE)</formula>
    </cfRule>
    <cfRule type="expression" dxfId="316" priority="499">
      <formula>IF(F51=1,TRUE,FALSE)</formula>
    </cfRule>
    <cfRule type="expression" dxfId="315" priority="500">
      <formula>IF(F51=0,TRUE,FALSE)</formula>
    </cfRule>
  </conditionalFormatting>
  <conditionalFormatting sqref="F58">
    <cfRule type="expression" dxfId="314" priority="491">
      <formula>IF(F58=4,TRUE,FALSE)</formula>
    </cfRule>
    <cfRule type="expression" dxfId="313" priority="492">
      <formula>IF(F58=3,TRUE,FALSE)</formula>
    </cfRule>
    <cfRule type="expression" dxfId="312" priority="493">
      <formula>IF(F58=2,TRUE,FALSE)</formula>
    </cfRule>
    <cfRule type="expression" dxfId="311" priority="494">
      <formula>IF(F58=1,TRUE,FALSE)</formula>
    </cfRule>
    <cfRule type="expression" dxfId="310" priority="495">
      <formula>IF(F58=0,TRUE,FALSE)</formula>
    </cfRule>
  </conditionalFormatting>
  <conditionalFormatting sqref="F61">
    <cfRule type="expression" dxfId="309" priority="466">
      <formula>IF(F61=4,TRUE,FALSE)</formula>
    </cfRule>
    <cfRule type="expression" dxfId="308" priority="467">
      <formula>IF(F61=3,TRUE,FALSE)</formula>
    </cfRule>
    <cfRule type="expression" dxfId="307" priority="468">
      <formula>IF(F61=2,TRUE,FALSE)</formula>
    </cfRule>
    <cfRule type="expression" dxfId="306" priority="469">
      <formula>IF(F61=1,TRUE,FALSE)</formula>
    </cfRule>
    <cfRule type="expression" dxfId="305" priority="470">
      <formula>IF(F61=0,TRUE,FALSE)</formula>
    </cfRule>
  </conditionalFormatting>
  <conditionalFormatting sqref="F70">
    <cfRule type="expression" dxfId="304" priority="406">
      <formula>IF(F70=4,TRUE,FALSE)</formula>
    </cfRule>
    <cfRule type="expression" dxfId="303" priority="407">
      <formula>IF(F70=3,TRUE,FALSE)</formula>
    </cfRule>
    <cfRule type="expression" dxfId="302" priority="408">
      <formula>IF(F70=2,TRUE,FALSE)</formula>
    </cfRule>
    <cfRule type="expression" dxfId="301" priority="409">
      <formula>IF(F70=1,TRUE,FALSE)</formula>
    </cfRule>
    <cfRule type="expression" dxfId="300" priority="410">
      <formula>IF(F70=0,TRUE,FALSE)</formula>
    </cfRule>
  </conditionalFormatting>
  <conditionalFormatting sqref="F71">
    <cfRule type="expression" dxfId="299" priority="396">
      <formula>IF(F71=4,TRUE,FALSE)</formula>
    </cfRule>
    <cfRule type="expression" dxfId="298" priority="397">
      <formula>IF(F71=3,TRUE,FALSE)</formula>
    </cfRule>
    <cfRule type="expression" dxfId="297" priority="398">
      <formula>IF(F71=2,TRUE,FALSE)</formula>
    </cfRule>
    <cfRule type="expression" dxfId="296" priority="399">
      <formula>IF(F71=1,TRUE,FALSE)</formula>
    </cfRule>
    <cfRule type="expression" dxfId="295" priority="400">
      <formula>IF(F71=0,TRUE,FALSE)</formula>
    </cfRule>
  </conditionalFormatting>
  <conditionalFormatting sqref="F72">
    <cfRule type="expression" dxfId="294" priority="391">
      <formula>IF(F72=4,TRUE,FALSE)</formula>
    </cfRule>
    <cfRule type="expression" dxfId="293" priority="392">
      <formula>IF(F72=3,TRUE,FALSE)</formula>
    </cfRule>
    <cfRule type="expression" dxfId="292" priority="393">
      <formula>IF(F72=2,TRUE,FALSE)</formula>
    </cfRule>
    <cfRule type="expression" dxfId="291" priority="394">
      <formula>IF(F72=1,TRUE,FALSE)</formula>
    </cfRule>
    <cfRule type="expression" dxfId="290" priority="395">
      <formula>IF(F72=0,TRUE,FALSE)</formula>
    </cfRule>
  </conditionalFormatting>
  <conditionalFormatting sqref="F73">
    <cfRule type="expression" dxfId="289" priority="386">
      <formula>IF(F73=4,TRUE,FALSE)</formula>
    </cfRule>
    <cfRule type="expression" dxfId="288" priority="387">
      <formula>IF(F73=3,TRUE,FALSE)</formula>
    </cfRule>
    <cfRule type="expression" dxfId="287" priority="388">
      <formula>IF(F73=2,TRUE,FALSE)</formula>
    </cfRule>
    <cfRule type="expression" dxfId="286" priority="389">
      <formula>IF(F73=1,TRUE,FALSE)</formula>
    </cfRule>
    <cfRule type="expression" dxfId="285" priority="390">
      <formula>IF(F73=0,TRUE,FALSE)</formula>
    </cfRule>
  </conditionalFormatting>
  <conditionalFormatting sqref="F76">
    <cfRule type="expression" dxfId="284" priority="381">
      <formula>IF(F76=4,TRUE,FALSE)</formula>
    </cfRule>
    <cfRule type="expression" dxfId="283" priority="382">
      <formula>IF(F76=3,TRUE,FALSE)</formula>
    </cfRule>
    <cfRule type="expression" dxfId="282" priority="383">
      <formula>IF(F76=2,TRUE,FALSE)</formula>
    </cfRule>
    <cfRule type="expression" dxfId="281" priority="384">
      <formula>IF(F76=1,TRUE,FALSE)</formula>
    </cfRule>
    <cfRule type="expression" dxfId="280" priority="385">
      <formula>IF(F76=0,TRUE,FALSE)</formula>
    </cfRule>
  </conditionalFormatting>
  <conditionalFormatting sqref="F77">
    <cfRule type="expression" dxfId="279" priority="376">
      <formula>IF(F77=4,TRUE,FALSE)</formula>
    </cfRule>
    <cfRule type="expression" dxfId="278" priority="377">
      <formula>IF(F77=3,TRUE,FALSE)</formula>
    </cfRule>
    <cfRule type="expression" dxfId="277" priority="378">
      <formula>IF(F77=2,TRUE,FALSE)</formula>
    </cfRule>
    <cfRule type="expression" dxfId="276" priority="379">
      <formula>IF(F77=1,TRUE,FALSE)</formula>
    </cfRule>
    <cfRule type="expression" dxfId="275" priority="380">
      <formula>IF(F77=0,TRUE,FALSE)</formula>
    </cfRule>
  </conditionalFormatting>
  <conditionalFormatting sqref="F78">
    <cfRule type="expression" dxfId="274" priority="371">
      <formula>IF(F78=4,TRUE,FALSE)</formula>
    </cfRule>
    <cfRule type="expression" dxfId="273" priority="372">
      <formula>IF(F78=3,TRUE,FALSE)</formula>
    </cfRule>
    <cfRule type="expression" dxfId="272" priority="373">
      <formula>IF(F78=2,TRUE,FALSE)</formula>
    </cfRule>
    <cfRule type="expression" dxfId="271" priority="374">
      <formula>IF(F78=1,TRUE,FALSE)</formula>
    </cfRule>
    <cfRule type="expression" dxfId="270" priority="375">
      <formula>IF(F78=0,TRUE,FALSE)</formula>
    </cfRule>
  </conditionalFormatting>
  <conditionalFormatting sqref="F79">
    <cfRule type="expression" dxfId="269" priority="366">
      <formula>IF(F79=4,TRUE,FALSE)</formula>
    </cfRule>
    <cfRule type="expression" dxfId="268" priority="367">
      <formula>IF(F79=3,TRUE,FALSE)</formula>
    </cfRule>
    <cfRule type="expression" dxfId="267" priority="368">
      <formula>IF(F79=2,TRUE,FALSE)</formula>
    </cfRule>
    <cfRule type="expression" dxfId="266" priority="369">
      <formula>IF(F79=1,TRUE,FALSE)</formula>
    </cfRule>
    <cfRule type="expression" dxfId="265" priority="370">
      <formula>IF(F79=0,TRUE,FALSE)</formula>
    </cfRule>
  </conditionalFormatting>
  <conditionalFormatting sqref="F80">
    <cfRule type="expression" dxfId="264" priority="361">
      <formula>IF(F80=4,TRUE,FALSE)</formula>
    </cfRule>
    <cfRule type="expression" dxfId="263" priority="362">
      <formula>IF(F80=3,TRUE,FALSE)</formula>
    </cfRule>
    <cfRule type="expression" dxfId="262" priority="363">
      <formula>IF(F80=2,TRUE,FALSE)</formula>
    </cfRule>
    <cfRule type="expression" dxfId="261" priority="364">
      <formula>IF(F80=1,TRUE,FALSE)</formula>
    </cfRule>
    <cfRule type="expression" dxfId="260" priority="365">
      <formula>IF(F80=0,TRUE,FALSE)</formula>
    </cfRule>
  </conditionalFormatting>
  <conditionalFormatting sqref="F81">
    <cfRule type="expression" dxfId="259" priority="351">
      <formula>IF(F81=4,TRUE,FALSE)</formula>
    </cfRule>
    <cfRule type="expression" dxfId="258" priority="352">
      <formula>IF(F81=3,TRUE,FALSE)</formula>
    </cfRule>
    <cfRule type="expression" dxfId="257" priority="353">
      <formula>IF(F81=2,TRUE,FALSE)</formula>
    </cfRule>
    <cfRule type="expression" dxfId="256" priority="354">
      <formula>IF(F81=1,TRUE,FALSE)</formula>
    </cfRule>
    <cfRule type="expression" dxfId="255" priority="355">
      <formula>IF(F81=0,TRUE,FALSE)</formula>
    </cfRule>
  </conditionalFormatting>
  <conditionalFormatting sqref="F83">
    <cfRule type="expression" dxfId="254" priority="346">
      <formula>IF(F83=4,TRUE,FALSE)</formula>
    </cfRule>
    <cfRule type="expression" dxfId="253" priority="347">
      <formula>IF(F83=3,TRUE,FALSE)</formula>
    </cfRule>
    <cfRule type="expression" dxfId="252" priority="348">
      <formula>IF(F83=2,TRUE,FALSE)</formula>
    </cfRule>
    <cfRule type="expression" dxfId="251" priority="349">
      <formula>IF(F83=1,TRUE,FALSE)</formula>
    </cfRule>
    <cfRule type="expression" dxfId="250" priority="350">
      <formula>IF(F83=0,TRUE,FALSE)</formula>
    </cfRule>
  </conditionalFormatting>
  <conditionalFormatting sqref="F84">
    <cfRule type="expression" dxfId="249" priority="341">
      <formula>IF(F84=4,TRUE,FALSE)</formula>
    </cfRule>
    <cfRule type="expression" dxfId="248" priority="342">
      <formula>IF(F84=3,TRUE,FALSE)</formula>
    </cfRule>
    <cfRule type="expression" dxfId="247" priority="343">
      <formula>IF(F84=2,TRUE,FALSE)</formula>
    </cfRule>
    <cfRule type="expression" dxfId="246" priority="344">
      <formula>IF(F84=1,TRUE,FALSE)</formula>
    </cfRule>
    <cfRule type="expression" dxfId="245" priority="345">
      <formula>IF(F84=0,TRUE,FALSE)</formula>
    </cfRule>
  </conditionalFormatting>
  <conditionalFormatting sqref="F85">
    <cfRule type="expression" dxfId="244" priority="336">
      <formula>IF(F85=4,TRUE,FALSE)</formula>
    </cfRule>
    <cfRule type="expression" dxfId="243" priority="337">
      <formula>IF(F85=3,TRUE,FALSE)</formula>
    </cfRule>
    <cfRule type="expression" dxfId="242" priority="338">
      <formula>IF(F85=2,TRUE,FALSE)</formula>
    </cfRule>
    <cfRule type="expression" dxfId="241" priority="339">
      <formula>IF(F85=1,TRUE,FALSE)</formula>
    </cfRule>
    <cfRule type="expression" dxfId="240" priority="340">
      <formula>IF(F85=0,TRUE,FALSE)</formula>
    </cfRule>
  </conditionalFormatting>
  <conditionalFormatting sqref="F88">
    <cfRule type="expression" dxfId="239" priority="326">
      <formula>IF(F88=4,TRUE,FALSE)</formula>
    </cfRule>
    <cfRule type="expression" dxfId="238" priority="327">
      <formula>IF(F88=3,TRUE,FALSE)</formula>
    </cfRule>
    <cfRule type="expression" dxfId="237" priority="328">
      <formula>IF(F88=2,TRUE,FALSE)</formula>
    </cfRule>
    <cfRule type="expression" dxfId="236" priority="329">
      <formula>IF(F88=1,TRUE,FALSE)</formula>
    </cfRule>
    <cfRule type="expression" dxfId="235" priority="330">
      <formula>IF(F88=0,TRUE,FALSE)</formula>
    </cfRule>
  </conditionalFormatting>
  <conditionalFormatting sqref="F86">
    <cfRule type="expression" dxfId="234" priority="301">
      <formula>IF(F86=4,TRUE,FALSE)</formula>
    </cfRule>
    <cfRule type="expression" dxfId="233" priority="302">
      <formula>IF(F86=3,TRUE,FALSE)</formula>
    </cfRule>
    <cfRule type="expression" dxfId="232" priority="303">
      <formula>IF(F86=2,TRUE,FALSE)</formula>
    </cfRule>
    <cfRule type="expression" dxfId="231" priority="304">
      <formula>IF(F86=1,TRUE,FALSE)</formula>
    </cfRule>
    <cfRule type="expression" dxfId="230" priority="305">
      <formula>IF(F86=0,TRUE,FALSE)</formula>
    </cfRule>
  </conditionalFormatting>
  <conditionalFormatting sqref="F107">
    <cfRule type="expression" dxfId="229" priority="276">
      <formula>IF(F107=4,TRUE,FALSE)</formula>
    </cfRule>
    <cfRule type="expression" dxfId="228" priority="277">
      <formula>IF(F107=3,TRUE,FALSE)</formula>
    </cfRule>
    <cfRule type="expression" dxfId="227" priority="278">
      <formula>IF(F107=2,TRUE,FALSE)</formula>
    </cfRule>
    <cfRule type="expression" dxfId="226" priority="279">
      <formula>IF(F107=1,TRUE,FALSE)</formula>
    </cfRule>
    <cfRule type="expression" dxfId="225" priority="280">
      <formula>IF(F107=0,TRUE,FALSE)</formula>
    </cfRule>
  </conditionalFormatting>
  <conditionalFormatting sqref="F109">
    <cfRule type="expression" dxfId="224" priority="261">
      <formula>IF(F109=4,TRUE,FALSE)</formula>
    </cfRule>
    <cfRule type="expression" dxfId="223" priority="262">
      <formula>IF(F109=3,TRUE,FALSE)</formula>
    </cfRule>
    <cfRule type="expression" dxfId="222" priority="263">
      <formula>IF(F109=2,TRUE,FALSE)</formula>
    </cfRule>
    <cfRule type="expression" dxfId="221" priority="264">
      <formula>IF(F109=1,TRUE,FALSE)</formula>
    </cfRule>
    <cfRule type="expression" dxfId="220" priority="265">
      <formula>IF(F109=0,TRUE,FALSE)</formula>
    </cfRule>
  </conditionalFormatting>
  <conditionalFormatting sqref="F111">
    <cfRule type="expression" dxfId="219" priority="256">
      <formula>IF(F111=4,TRUE,FALSE)</formula>
    </cfRule>
    <cfRule type="expression" dxfId="218" priority="257">
      <formula>IF(F111=3,TRUE,FALSE)</formula>
    </cfRule>
    <cfRule type="expression" dxfId="217" priority="258">
      <formula>IF(F111=2,TRUE,FALSE)</formula>
    </cfRule>
    <cfRule type="expression" dxfId="216" priority="259">
      <formula>IF(F111=1,TRUE,FALSE)</formula>
    </cfRule>
    <cfRule type="expression" dxfId="215" priority="260">
      <formula>IF(F111=0,TRUE,FALSE)</formula>
    </cfRule>
  </conditionalFormatting>
  <conditionalFormatting sqref="F112">
    <cfRule type="expression" dxfId="214" priority="251">
      <formula>IF(F112=4,TRUE,FALSE)</formula>
    </cfRule>
    <cfRule type="expression" dxfId="213" priority="252">
      <formula>IF(F112=3,TRUE,FALSE)</formula>
    </cfRule>
    <cfRule type="expression" dxfId="212" priority="253">
      <formula>IF(F112=2,TRUE,FALSE)</formula>
    </cfRule>
    <cfRule type="expression" dxfId="211" priority="254">
      <formula>IF(F112=1,TRUE,FALSE)</formula>
    </cfRule>
    <cfRule type="expression" dxfId="210" priority="255">
      <formula>IF(F112=0,TRUE,FALSE)</formula>
    </cfRule>
  </conditionalFormatting>
  <conditionalFormatting sqref="F113">
    <cfRule type="expression" dxfId="209" priority="246">
      <formula>IF(F113=4,TRUE,FALSE)</formula>
    </cfRule>
    <cfRule type="expression" dxfId="208" priority="247">
      <formula>IF(F113=3,TRUE,FALSE)</formula>
    </cfRule>
    <cfRule type="expression" dxfId="207" priority="248">
      <formula>IF(F113=2,TRUE,FALSE)</formula>
    </cfRule>
    <cfRule type="expression" dxfId="206" priority="249">
      <formula>IF(F113=1,TRUE,FALSE)</formula>
    </cfRule>
    <cfRule type="expression" dxfId="205" priority="250">
      <formula>IF(F113=0,TRUE,FALSE)</formula>
    </cfRule>
  </conditionalFormatting>
  <conditionalFormatting sqref="F114">
    <cfRule type="expression" dxfId="204" priority="241">
      <formula>IF(F114=4,TRUE,FALSE)</formula>
    </cfRule>
    <cfRule type="expression" dxfId="203" priority="242">
      <formula>IF(F114=3,TRUE,FALSE)</formula>
    </cfRule>
    <cfRule type="expression" dxfId="202" priority="243">
      <formula>IF(F114=2,TRUE,FALSE)</formula>
    </cfRule>
    <cfRule type="expression" dxfId="201" priority="244">
      <formula>IF(F114=1,TRUE,FALSE)</formula>
    </cfRule>
    <cfRule type="expression" dxfId="200" priority="245">
      <formula>IF(F114=0,TRUE,FALSE)</formula>
    </cfRule>
  </conditionalFormatting>
  <conditionalFormatting sqref="F116">
    <cfRule type="expression" dxfId="199" priority="236">
      <formula>IF(F116=4,TRUE,FALSE)</formula>
    </cfRule>
    <cfRule type="expression" dxfId="198" priority="237">
      <formula>IF(F116=3,TRUE,FALSE)</formula>
    </cfRule>
    <cfRule type="expression" dxfId="197" priority="238">
      <formula>IF(F116=2,TRUE,FALSE)</formula>
    </cfRule>
    <cfRule type="expression" dxfId="196" priority="239">
      <formula>IF(F116=1,TRUE,FALSE)</formula>
    </cfRule>
    <cfRule type="expression" dxfId="195" priority="240">
      <formula>IF(F116=0,TRUE,FALSE)</formula>
    </cfRule>
  </conditionalFormatting>
  <conditionalFormatting sqref="F13">
    <cfRule type="expression" dxfId="194" priority="231">
      <formula>IF(F13=4,TRUE,FALSE)</formula>
    </cfRule>
    <cfRule type="expression" dxfId="193" priority="232">
      <formula>IF(F13=3,TRUE,FALSE)</formula>
    </cfRule>
    <cfRule type="expression" dxfId="192" priority="233">
      <formula>IF(F13=2,TRUE,FALSE)</formula>
    </cfRule>
    <cfRule type="expression" dxfId="191" priority="234">
      <formula>IF(F13=1,TRUE,FALSE)</formula>
    </cfRule>
    <cfRule type="expression" dxfId="190" priority="235">
      <formula>IF(F13=0,TRUE,FALSE)</formula>
    </cfRule>
  </conditionalFormatting>
  <conditionalFormatting sqref="F64">
    <cfRule type="expression" dxfId="189" priority="221">
      <formula>IF(F64=4,TRUE,FALSE)</formula>
    </cfRule>
    <cfRule type="expression" dxfId="188" priority="222">
      <formula>IF(F64=3,TRUE,FALSE)</formula>
    </cfRule>
    <cfRule type="expression" dxfId="187" priority="223">
      <formula>IF(F64=2,TRUE,FALSE)</formula>
    </cfRule>
    <cfRule type="expression" dxfId="186" priority="224">
      <formula>IF(F64=1,TRUE,FALSE)</formula>
    </cfRule>
    <cfRule type="expression" dxfId="185" priority="225">
      <formula>IF(F64=0,TRUE,FALSE)</formula>
    </cfRule>
  </conditionalFormatting>
  <conditionalFormatting sqref="F67">
    <cfRule type="expression" dxfId="184" priority="186">
      <formula>IF(F67=4,TRUE,FALSE)</formula>
    </cfRule>
    <cfRule type="expression" dxfId="183" priority="187">
      <formula>IF(F67=3,TRUE,FALSE)</formula>
    </cfRule>
    <cfRule type="expression" dxfId="182" priority="188">
      <formula>IF(F67=2,TRUE,FALSE)</formula>
    </cfRule>
    <cfRule type="expression" dxfId="181" priority="189">
      <formula>IF(F67=1,TRUE,FALSE)</formula>
    </cfRule>
    <cfRule type="expression" dxfId="180" priority="190">
      <formula>IF(F67=0,TRUE,FALSE)</formula>
    </cfRule>
  </conditionalFormatting>
  <conditionalFormatting sqref="F68">
    <cfRule type="expression" dxfId="179" priority="181">
      <formula>IF(F68=4,TRUE,FALSE)</formula>
    </cfRule>
    <cfRule type="expression" dxfId="178" priority="182">
      <formula>IF(F68=3,TRUE,FALSE)</formula>
    </cfRule>
    <cfRule type="expression" dxfId="177" priority="183">
      <formula>IF(F68=2,TRUE,FALSE)</formula>
    </cfRule>
    <cfRule type="expression" dxfId="176" priority="184">
      <formula>IF(F68=1,TRUE,FALSE)</formula>
    </cfRule>
    <cfRule type="expression" dxfId="175" priority="185">
      <formula>IF(F68=0,TRUE,FALSE)</formula>
    </cfRule>
  </conditionalFormatting>
  <conditionalFormatting sqref="F59">
    <cfRule type="expression" dxfId="174" priority="161">
      <formula>IF(F59=4,TRUE,FALSE)</formula>
    </cfRule>
    <cfRule type="expression" dxfId="173" priority="162">
      <formula>IF(F59=3,TRUE,FALSE)</formula>
    </cfRule>
    <cfRule type="expression" dxfId="172" priority="163">
      <formula>IF(F59=2,TRUE,FALSE)</formula>
    </cfRule>
    <cfRule type="expression" dxfId="171" priority="164">
      <formula>IF(F59=1,TRUE,FALSE)</formula>
    </cfRule>
    <cfRule type="expression" dxfId="170" priority="165">
      <formula>IF(F59=0,TRUE,FALSE)</formula>
    </cfRule>
  </conditionalFormatting>
  <conditionalFormatting sqref="F62">
    <cfRule type="expression" dxfId="169" priority="156">
      <formula>IF(F62=4,TRUE,FALSE)</formula>
    </cfRule>
    <cfRule type="expression" dxfId="168" priority="157">
      <formula>IF(F62=3,TRUE,FALSE)</formula>
    </cfRule>
    <cfRule type="expression" dxfId="167" priority="158">
      <formula>IF(F62=2,TRUE,FALSE)</formula>
    </cfRule>
    <cfRule type="expression" dxfId="166" priority="159">
      <formula>IF(F62=1,TRUE,FALSE)</formula>
    </cfRule>
    <cfRule type="expression" dxfId="165" priority="160">
      <formula>IF(F62=0,TRUE,FALSE)</formula>
    </cfRule>
  </conditionalFormatting>
  <conditionalFormatting sqref="F108">
    <cfRule type="expression" dxfId="164" priority="146">
      <formula>IF(F108=4,TRUE,FALSE)</formula>
    </cfRule>
    <cfRule type="expression" dxfId="163" priority="147">
      <formula>IF(F108=3,TRUE,FALSE)</formula>
    </cfRule>
    <cfRule type="expression" dxfId="162" priority="148">
      <formula>IF(F108=2,TRUE,FALSE)</formula>
    </cfRule>
    <cfRule type="expression" dxfId="161" priority="149">
      <formula>IF(F108=1,TRUE,FALSE)</formula>
    </cfRule>
    <cfRule type="expression" dxfId="160" priority="150">
      <formula>IF(F108=0,TRUE,FALSE)</formula>
    </cfRule>
  </conditionalFormatting>
  <conditionalFormatting sqref="F16">
    <cfRule type="expression" dxfId="159" priority="136">
      <formula>IF(F16=4,TRUE,FALSE)</formula>
    </cfRule>
    <cfRule type="expression" dxfId="158" priority="137">
      <formula>IF(F16=3,TRUE,FALSE)</formula>
    </cfRule>
    <cfRule type="expression" dxfId="157" priority="138">
      <formula>IF(F16=2,TRUE,FALSE)</formula>
    </cfRule>
    <cfRule type="expression" dxfId="156" priority="139">
      <formula>IF(F16=1,TRUE,FALSE)</formula>
    </cfRule>
    <cfRule type="expression" dxfId="155" priority="140">
      <formula>IF(F16=0,TRUE,FALSE)</formula>
    </cfRule>
  </conditionalFormatting>
  <conditionalFormatting sqref="F27">
    <cfRule type="expression" dxfId="154" priority="131">
      <formula>IF(F27=4,TRUE,FALSE)</formula>
    </cfRule>
    <cfRule type="expression" dxfId="153" priority="132">
      <formula>IF(F27=3,TRUE,FALSE)</formula>
    </cfRule>
    <cfRule type="expression" dxfId="152" priority="133">
      <formula>IF(F27=2,TRUE,FALSE)</formula>
    </cfRule>
    <cfRule type="expression" dxfId="151" priority="134">
      <formula>IF(F27=1,TRUE,FALSE)</formula>
    </cfRule>
    <cfRule type="expression" dxfId="150" priority="135">
      <formula>IF(F27=0,TRUE,FALSE)</formula>
    </cfRule>
  </conditionalFormatting>
  <conditionalFormatting sqref="F30">
    <cfRule type="expression" dxfId="149" priority="126">
      <formula>IF(F30=4,TRUE,FALSE)</formula>
    </cfRule>
    <cfRule type="expression" dxfId="148" priority="127">
      <formula>IF(F30=3,TRUE,FALSE)</formula>
    </cfRule>
    <cfRule type="expression" dxfId="147" priority="128">
      <formula>IF(F30=2,TRUE,FALSE)</formula>
    </cfRule>
    <cfRule type="expression" dxfId="146" priority="129">
      <formula>IF(F30=1,TRUE,FALSE)</formula>
    </cfRule>
    <cfRule type="expression" dxfId="145" priority="130">
      <formula>IF(F30=0,TRUE,FALSE)</formula>
    </cfRule>
  </conditionalFormatting>
  <conditionalFormatting sqref="F31">
    <cfRule type="expression" dxfId="144" priority="121">
      <formula>IF(F31=4,TRUE,FALSE)</formula>
    </cfRule>
    <cfRule type="expression" dxfId="143" priority="122">
      <formula>IF(F31=3,TRUE,FALSE)</formula>
    </cfRule>
    <cfRule type="expression" dxfId="142" priority="123">
      <formula>IF(F31=2,TRUE,FALSE)</formula>
    </cfRule>
    <cfRule type="expression" dxfId="141" priority="124">
      <formula>IF(F31=1,TRUE,FALSE)</formula>
    </cfRule>
    <cfRule type="expression" dxfId="140" priority="125">
      <formula>IF(F31=0,TRUE,FALSE)</formula>
    </cfRule>
  </conditionalFormatting>
  <conditionalFormatting sqref="F32">
    <cfRule type="expression" dxfId="139" priority="116">
      <formula>IF(F32=4,TRUE,FALSE)</formula>
    </cfRule>
    <cfRule type="expression" dxfId="138" priority="117">
      <formula>IF(F32=3,TRUE,FALSE)</formula>
    </cfRule>
    <cfRule type="expression" dxfId="137" priority="118">
      <formula>IF(F32=2,TRUE,FALSE)</formula>
    </cfRule>
    <cfRule type="expression" dxfId="136" priority="119">
      <formula>IF(F32=1,TRUE,FALSE)</formula>
    </cfRule>
    <cfRule type="expression" dxfId="135" priority="120">
      <formula>IF(F32=0,TRUE,FALSE)</formula>
    </cfRule>
  </conditionalFormatting>
  <conditionalFormatting sqref="F39">
    <cfRule type="expression" dxfId="134" priority="111">
      <formula>IF(F39=4,TRUE,FALSE)</formula>
    </cfRule>
    <cfRule type="expression" dxfId="133" priority="112">
      <formula>IF(F39=3,TRUE,FALSE)</formula>
    </cfRule>
    <cfRule type="expression" dxfId="132" priority="113">
      <formula>IF(F39=2,TRUE,FALSE)</formula>
    </cfRule>
    <cfRule type="expression" dxfId="131" priority="114">
      <formula>IF(F39=1,TRUE,FALSE)</formula>
    </cfRule>
    <cfRule type="expression" dxfId="130" priority="115">
      <formula>IF(F39=0,TRUE,FALSE)</formula>
    </cfRule>
  </conditionalFormatting>
  <conditionalFormatting sqref="F40">
    <cfRule type="expression" dxfId="129" priority="106">
      <formula>IF(F40=4,TRUE,FALSE)</formula>
    </cfRule>
    <cfRule type="expression" dxfId="128" priority="107">
      <formula>IF(F40=3,TRUE,FALSE)</formula>
    </cfRule>
    <cfRule type="expression" dxfId="127" priority="108">
      <formula>IF(F40=2,TRUE,FALSE)</formula>
    </cfRule>
    <cfRule type="expression" dxfId="126" priority="109">
      <formula>IF(F40=1,TRUE,FALSE)</formula>
    </cfRule>
    <cfRule type="expression" dxfId="125" priority="110">
      <formula>IF(F40=0,TRUE,FALSE)</formula>
    </cfRule>
  </conditionalFormatting>
  <conditionalFormatting sqref="F47">
    <cfRule type="expression" dxfId="124" priority="101">
      <formula>IF(F47=4,TRUE,FALSE)</formula>
    </cfRule>
    <cfRule type="expression" dxfId="123" priority="102">
      <formula>IF(F47=3,TRUE,FALSE)</formula>
    </cfRule>
    <cfRule type="expression" dxfId="122" priority="103">
      <formula>IF(F47=2,TRUE,FALSE)</formula>
    </cfRule>
    <cfRule type="expression" dxfId="121" priority="104">
      <formula>IF(F47=1,TRUE,FALSE)</formula>
    </cfRule>
    <cfRule type="expression" dxfId="120" priority="105">
      <formula>IF(F47=0,TRUE,FALSE)</formula>
    </cfRule>
  </conditionalFormatting>
  <conditionalFormatting sqref="F49">
    <cfRule type="expression" dxfId="119" priority="96">
      <formula>IF(F49=4,TRUE,FALSE)</formula>
    </cfRule>
    <cfRule type="expression" dxfId="118" priority="97">
      <formula>IF(F49=3,TRUE,FALSE)</formula>
    </cfRule>
    <cfRule type="expression" dxfId="117" priority="98">
      <formula>IF(F49=2,TRUE,FALSE)</formula>
    </cfRule>
    <cfRule type="expression" dxfId="116" priority="99">
      <formula>IF(F49=1,TRUE,FALSE)</formula>
    </cfRule>
    <cfRule type="expression" dxfId="115" priority="100">
      <formula>IF(F49=0,TRUE,FALSE)</formula>
    </cfRule>
  </conditionalFormatting>
  <conditionalFormatting sqref="F56">
    <cfRule type="expression" dxfId="114" priority="91">
      <formula>IF(F56=4,TRUE,FALSE)</formula>
    </cfRule>
    <cfRule type="expression" dxfId="113" priority="92">
      <formula>IF(F56=3,TRUE,FALSE)</formula>
    </cfRule>
    <cfRule type="expression" dxfId="112" priority="93">
      <formula>IF(F56=2,TRUE,FALSE)</formula>
    </cfRule>
    <cfRule type="expression" dxfId="111" priority="94">
      <formula>IF(F56=1,TRUE,FALSE)</formula>
    </cfRule>
    <cfRule type="expression" dxfId="110" priority="95">
      <formula>IF(F56=0,TRUE,FALSE)</formula>
    </cfRule>
  </conditionalFormatting>
  <conditionalFormatting sqref="F60">
    <cfRule type="expression" dxfId="109" priority="86">
      <formula>IF(F60=4,TRUE,FALSE)</formula>
    </cfRule>
    <cfRule type="expression" dxfId="108" priority="87">
      <formula>IF(F60=3,TRUE,FALSE)</formula>
    </cfRule>
    <cfRule type="expression" dxfId="107" priority="88">
      <formula>IF(F60=2,TRUE,FALSE)</formula>
    </cfRule>
    <cfRule type="expression" dxfId="106" priority="89">
      <formula>IF(F60=1,TRUE,FALSE)</formula>
    </cfRule>
    <cfRule type="expression" dxfId="105" priority="90">
      <formula>IF(F60=0,TRUE,FALSE)</formula>
    </cfRule>
  </conditionalFormatting>
  <conditionalFormatting sqref="F65">
    <cfRule type="expression" dxfId="104" priority="81">
      <formula>IF(F65=4,TRUE,FALSE)</formula>
    </cfRule>
    <cfRule type="expression" dxfId="103" priority="82">
      <formula>IF(F65=3,TRUE,FALSE)</formula>
    </cfRule>
    <cfRule type="expression" dxfId="102" priority="83">
      <formula>IF(F65=2,TRUE,FALSE)</formula>
    </cfRule>
    <cfRule type="expression" dxfId="101" priority="84">
      <formula>IF(F65=1,TRUE,FALSE)</formula>
    </cfRule>
    <cfRule type="expression" dxfId="100" priority="85">
      <formula>IF(F65=0,TRUE,FALSE)</formula>
    </cfRule>
  </conditionalFormatting>
  <conditionalFormatting sqref="F66">
    <cfRule type="expression" dxfId="99" priority="76">
      <formula>IF(F66=4,TRUE,FALSE)</formula>
    </cfRule>
    <cfRule type="expression" dxfId="98" priority="77">
      <formula>IF(F66=3,TRUE,FALSE)</formula>
    </cfRule>
    <cfRule type="expression" dxfId="97" priority="78">
      <formula>IF(F66=2,TRUE,FALSE)</formula>
    </cfRule>
    <cfRule type="expression" dxfId="96" priority="79">
      <formula>IF(F66=1,TRUE,FALSE)</formula>
    </cfRule>
    <cfRule type="expression" dxfId="95" priority="80">
      <formula>IF(F66=0,TRUE,FALSE)</formula>
    </cfRule>
  </conditionalFormatting>
  <conditionalFormatting sqref="F89">
    <cfRule type="expression" dxfId="94" priority="71">
      <formula>IF(F89=4,TRUE,FALSE)</formula>
    </cfRule>
    <cfRule type="expression" dxfId="93" priority="72">
      <formula>IF(F89=3,TRUE,FALSE)</formula>
    </cfRule>
    <cfRule type="expression" dxfId="92" priority="73">
      <formula>IF(F89=2,TRUE,FALSE)</formula>
    </cfRule>
    <cfRule type="expression" dxfId="91" priority="74">
      <formula>IF(F89=1,TRUE,FALSE)</formula>
    </cfRule>
    <cfRule type="expression" dxfId="90" priority="75">
      <formula>IF(F89=0,TRUE,FALSE)</formula>
    </cfRule>
  </conditionalFormatting>
  <conditionalFormatting sqref="F90">
    <cfRule type="expression" dxfId="89" priority="66">
      <formula>IF(F90=4,TRUE,FALSE)</formula>
    </cfRule>
    <cfRule type="expression" dxfId="88" priority="67">
      <formula>IF(F90=3,TRUE,FALSE)</formula>
    </cfRule>
    <cfRule type="expression" dxfId="87" priority="68">
      <formula>IF(F90=2,TRUE,FALSE)</formula>
    </cfRule>
    <cfRule type="expression" dxfId="86" priority="69">
      <formula>IF(F90=1,TRUE,FALSE)</formula>
    </cfRule>
    <cfRule type="expression" dxfId="85" priority="70">
      <formula>IF(F90=0,TRUE,FALSE)</formula>
    </cfRule>
  </conditionalFormatting>
  <conditionalFormatting sqref="F91">
    <cfRule type="expression" dxfId="84" priority="56">
      <formula>IF(F91=4,TRUE,FALSE)</formula>
    </cfRule>
    <cfRule type="expression" dxfId="83" priority="57">
      <formula>IF(F91=3,TRUE,FALSE)</formula>
    </cfRule>
    <cfRule type="expression" dxfId="82" priority="58">
      <formula>IF(F91=2,TRUE,FALSE)</formula>
    </cfRule>
    <cfRule type="expression" dxfId="81" priority="59">
      <formula>IF(F91=1,TRUE,FALSE)</formula>
    </cfRule>
    <cfRule type="expression" dxfId="80" priority="60">
      <formula>IF(F91=0,TRUE,FALSE)</formula>
    </cfRule>
  </conditionalFormatting>
  <conditionalFormatting sqref="F92">
    <cfRule type="expression" dxfId="79" priority="51">
      <formula>IF(F92=4,TRUE,FALSE)</formula>
    </cfRule>
    <cfRule type="expression" dxfId="78" priority="52">
      <formula>IF(F92=3,TRUE,FALSE)</formula>
    </cfRule>
    <cfRule type="expression" dxfId="77" priority="53">
      <formula>IF(F92=2,TRUE,FALSE)</formula>
    </cfRule>
    <cfRule type="expression" dxfId="76" priority="54">
      <formula>IF(F92=1,TRUE,FALSE)</formula>
    </cfRule>
    <cfRule type="expression" dxfId="75" priority="55">
      <formula>IF(F92=0,TRUE,FALSE)</formula>
    </cfRule>
  </conditionalFormatting>
  <conditionalFormatting sqref="F93">
    <cfRule type="expression" dxfId="74" priority="46">
      <formula>IF(F93=4,TRUE,FALSE)</formula>
    </cfRule>
    <cfRule type="expression" dxfId="73" priority="47">
      <formula>IF(F93=3,TRUE,FALSE)</formula>
    </cfRule>
    <cfRule type="expression" dxfId="72" priority="48">
      <formula>IF(F93=2,TRUE,FALSE)</formula>
    </cfRule>
    <cfRule type="expression" dxfId="71" priority="49">
      <formula>IF(F93=1,TRUE,FALSE)</formula>
    </cfRule>
    <cfRule type="expression" dxfId="70" priority="50">
      <formula>IF(F93=0,TRUE,FALSE)</formula>
    </cfRule>
  </conditionalFormatting>
  <conditionalFormatting sqref="F94">
    <cfRule type="expression" dxfId="69" priority="36">
      <formula>IF(F94=4,TRUE,FALSE)</formula>
    </cfRule>
    <cfRule type="expression" dxfId="68" priority="37">
      <formula>IF(F94=3,TRUE,FALSE)</formula>
    </cfRule>
    <cfRule type="expression" dxfId="67" priority="38">
      <formula>IF(F94=2,TRUE,FALSE)</formula>
    </cfRule>
    <cfRule type="expression" dxfId="66" priority="39">
      <formula>IF(F94=1,TRUE,FALSE)</formula>
    </cfRule>
    <cfRule type="expression" dxfId="65" priority="40">
      <formula>IF(F94=0,TRUE,FALSE)</formula>
    </cfRule>
  </conditionalFormatting>
  <conditionalFormatting sqref="F95">
    <cfRule type="expression" dxfId="64" priority="31">
      <formula>IF(F95=4,TRUE,FALSE)</formula>
    </cfRule>
    <cfRule type="expression" dxfId="63" priority="32">
      <formula>IF(F95=3,TRUE,FALSE)</formula>
    </cfRule>
    <cfRule type="expression" dxfId="62" priority="33">
      <formula>IF(F95=2,TRUE,FALSE)</formula>
    </cfRule>
    <cfRule type="expression" dxfId="61" priority="34">
      <formula>IF(F95=1,TRUE,FALSE)</formula>
    </cfRule>
    <cfRule type="expression" dxfId="60" priority="35">
      <formula>IF(F95=0,TRUE,FALSE)</formula>
    </cfRule>
  </conditionalFormatting>
  <conditionalFormatting sqref="F96">
    <cfRule type="expression" dxfId="59" priority="26">
      <formula>IF(F96=4,TRUE,FALSE)</formula>
    </cfRule>
    <cfRule type="expression" dxfId="58" priority="27">
      <formula>IF(F96=3,TRUE,FALSE)</formula>
    </cfRule>
    <cfRule type="expression" dxfId="57" priority="28">
      <formula>IF(F96=2,TRUE,FALSE)</formula>
    </cfRule>
    <cfRule type="expression" dxfId="56" priority="29">
      <formula>IF(F96=1,TRUE,FALSE)</formula>
    </cfRule>
    <cfRule type="expression" dxfId="55" priority="30">
      <formula>IF(F96=0,TRUE,FALSE)</formula>
    </cfRule>
  </conditionalFormatting>
  <conditionalFormatting sqref="F97">
    <cfRule type="expression" dxfId="54" priority="21">
      <formula>IF(F97=4,TRUE,FALSE)</formula>
    </cfRule>
    <cfRule type="expression" dxfId="53" priority="22">
      <formula>IF(F97=3,TRUE,FALSE)</formula>
    </cfRule>
    <cfRule type="expression" dxfId="52" priority="23">
      <formula>IF(F97=2,TRUE,FALSE)</formula>
    </cfRule>
    <cfRule type="expression" dxfId="51" priority="24">
      <formula>IF(F97=1,TRUE,FALSE)</formula>
    </cfRule>
    <cfRule type="expression" dxfId="50" priority="25">
      <formula>IF(F97=0,TRUE,FALSE)</formula>
    </cfRule>
  </conditionalFormatting>
  <conditionalFormatting sqref="F98">
    <cfRule type="expression" dxfId="49" priority="16">
      <formula>IF(F98=4,TRUE,FALSE)</formula>
    </cfRule>
    <cfRule type="expression" dxfId="48" priority="17">
      <formula>IF(F98=3,TRUE,FALSE)</formula>
    </cfRule>
    <cfRule type="expression" dxfId="47" priority="18">
      <formula>IF(F98=2,TRUE,FALSE)</formula>
    </cfRule>
    <cfRule type="expression" dxfId="46" priority="19">
      <formula>IF(F98=1,TRUE,FALSE)</formula>
    </cfRule>
    <cfRule type="expression" dxfId="45" priority="20">
      <formula>IF(F98=0,TRUE,FALSE)</formula>
    </cfRule>
  </conditionalFormatting>
  <conditionalFormatting sqref="F99">
    <cfRule type="expression" dxfId="44" priority="11">
      <formula>IF(F99=4,TRUE,FALSE)</formula>
    </cfRule>
    <cfRule type="expression" dxfId="43" priority="12">
      <formula>IF(F99=3,TRUE,FALSE)</formula>
    </cfRule>
    <cfRule type="expression" dxfId="42" priority="13">
      <formula>IF(F99=2,TRUE,FALSE)</formula>
    </cfRule>
    <cfRule type="expression" dxfId="41" priority="14">
      <formula>IF(F99=1,TRUE,FALSE)</formula>
    </cfRule>
    <cfRule type="expression" dxfId="40" priority="15">
      <formula>IF(F99=0,TRUE,FALSE)</formula>
    </cfRule>
  </conditionalFormatting>
  <conditionalFormatting sqref="F100">
    <cfRule type="expression" dxfId="39" priority="6">
      <formula>IF(F100=4,TRUE,FALSE)</formula>
    </cfRule>
    <cfRule type="expression" dxfId="38" priority="7">
      <formula>IF(F100=3,TRUE,FALSE)</formula>
    </cfRule>
    <cfRule type="expression" dxfId="37" priority="8">
      <formula>IF(F100=2,TRUE,FALSE)</formula>
    </cfRule>
    <cfRule type="expression" dxfId="36" priority="9">
      <formula>IF(F100=1,TRUE,FALSE)</formula>
    </cfRule>
    <cfRule type="expression" dxfId="35" priority="10">
      <formula>IF(F100=0,TRUE,FALSE)</formula>
    </cfRule>
  </conditionalFormatting>
  <conditionalFormatting sqref="F101">
    <cfRule type="expression" dxfId="34" priority="1">
      <formula>IF(F101=4,TRUE,FALSE)</formula>
    </cfRule>
    <cfRule type="expression" dxfId="33" priority="2">
      <formula>IF(F101=3,TRUE,FALSE)</formula>
    </cfRule>
    <cfRule type="expression" dxfId="32" priority="3">
      <formula>IF(F101=2,TRUE,FALSE)</formula>
    </cfRule>
    <cfRule type="expression" dxfId="31" priority="4">
      <formula>IF(F101=1,TRUE,FALSE)</formula>
    </cfRule>
    <cfRule type="expression" dxfId="30" priority="5">
      <formula>IF(F101=0,TRUE,FALSE)</formula>
    </cfRule>
  </conditionalFormatting>
  <dataValidations disablePrompts="1" xWindow="1366" yWindow="509" count="14">
    <dataValidation type="list" allowBlank="1" showInputMessage="1" showErrorMessage="1" prompt="0 - (0%) - Très mauvaise _x000a_1 - (25%) - Mauvaise _x000a_2 - (50%) - Moyenne _x000a_3 - (75%) - Bonne_x000a_4 - (100%) - Excellente_x000a_- : Non pertinent ou non évalué" sqref="F75 F54">
      <formula1>"0,1,2,3,4,-"</formula1>
    </dataValidation>
    <dataValidation type="list" allowBlank="1" showInputMessage="1" showErrorMessage="1" prompt="0 : Non_x000a_4 : Oui_x000a_- : Non pertinent ou non évalué" sqref="F103">
      <formula1>"0,4,-"</formula1>
    </dataValidation>
    <dataValidation type="list" allowBlank="1" showInputMessage="1" showErrorMessage="1" prompt="0 : Non_x000a_2 : Oui pour un seul des deux batiments _x000a_4 : Oui_x000a_- : Non pertinent ou non évalué" sqref="F104">
      <formula1>"0,2,4,-"</formula1>
    </dataValidation>
    <dataValidation type="list" allowBlank="1" showInputMessage="1" showErrorMessage="1" prompt="0 - (0%) - Très mauvaise _x000a_1 - (25%) - Mauvaise _x000a_2 - (50%) - Moyenne _x000a_3 - (75%) - Bonne_x000a_4 - (100%) - Excellente_x000a_- Non pertinente ou non évaluée" sqref="F115">
      <formula1>"0,1,2,3,4,-"</formula1>
    </dataValidation>
    <dataValidation showInputMessage="1" showErrorMessage="1" sqref="H3:H11 H75:H81 H70:H73 H83:H86 H13:H18 H64:H68 H111:H116 H20:H22 H24:H27 H47:H56 H29:H37 H39:H45 H58:H62 H103:H109 H88:H101"/>
    <dataValidation type="list" allowBlank="1" showInputMessage="1" showErrorMessage="1" prompt="0 – Absent_x000a_1 – Présent mais non fonctionnel_x000a_2 – Partiellement fonctionnel_x000a_3 – Fonctionnel, vérifications manquantes_x000a_4 – Complet et vérifié_x000a_NA – Non applicable" sqref="F8">
      <formula1>"0,1,2,3,4,-"</formula1>
    </dataValidation>
    <dataValidation type="list" allowBlank="1" showInputMessage="1" showErrorMessage="1" prompt="0 – Procédure absente_x000a_1 – Connue mais non appliquée_x000a_2 – Appliquée partiellement_x000a_3 – Appliquée avec quelques écarts_x000a_4 – Maîtrisée et appliquée_x000a_NA – Non applicable" sqref="F3:F4 F6:F7 F11 F15:F16 F24 F84:F86 F111 F34 F61:F62 F41:F44 F88 F51:F52 F68 F76 F90 F99">
      <formula1>"0,1,2,3,4,-"</formula1>
    </dataValidation>
    <dataValidation type="list" allowBlank="1" showInputMessage="1" showErrorMessage="1" prompt="0 – Aucun suivi_x000a_1 – Suivi papier, non structuré_x000a_2 – Suivi présent mais incohérent_x000a_3 – Suivi fiable avec erreurs mineures_x000a_4 – Suivi complet et à jour_x000a_NA – Non applicable" sqref="F5 F29 F36:F37 F45 F48 F50 F55:F56 F116 F73 F79 F83 F89 F114 F27 F59 F93 F100">
      <formula1>"0,1,2,3,4,-"</formula1>
    </dataValidation>
    <dataValidation type="list" allowBlank="1" showInputMessage="1" showErrorMessage="1" prompt="0 – Absent_x000a_1 – Présent mais inutilisable_x000a_2 – Utilisable mais incomplet_x000a_3 – Fonctionnel, vérif. non formalisée_x000a_4 – Fonctionnel, complet, vérifié_x000a_NA – Non applicable" sqref="F9:F10 F70:F71 F78 F39 F58 F107:F109 F30:F32 F91 F94:F98 F101">
      <formula1>"0,1,2,3,4,-"</formula1>
    </dataValidation>
    <dataValidation type="list" allowBlank="1" showInputMessage="1" showErrorMessage="1" prompt="0 – Aucune implication_x000a_1 – Implication ponctuelle_x000a_2 – Implication partielle_x000a_3 – Implication régulière_x000a_4 – Implication active et documentée_x000a_NA – Non applicable" sqref="F17:F18 F13 F20 F22 F25 F33 F92">
      <formula1>"0,1,2,3,4,-"</formula1>
    </dataValidation>
    <dataValidation type="list" allowBlank="1" showInputMessage="1" showErrorMessage="1" prompt="0 – 0% atteint_x000a_1 – 25% atteint_x000a_2 – 50% atteint_x000a_3 – 75% atteint_x000a_4 – 100% atteint_x000a_NA – Non applicable" sqref="F113 F26 F53 F47 F72 F80 F14 F64:F67">
      <formula1>"0,1,2,3,4,-"</formula1>
    </dataValidation>
    <dataValidation type="list" allowBlank="1" showInputMessage="1" showErrorMessage="1" prompt="0 – Pas de formation_x000a_1 – Formation informelle_x000a_2 – Formation partielle_x000a_3 – Formation incomplète_x000a_4 – Formation complète et suivie_x000a_NA – Non applicable" sqref="F21 F77 F112 F60">
      <formula1>"0,1,2,3,4,-"</formula1>
    </dataValidation>
    <dataValidation type="list" allowBlank="1" showInputMessage="1" showErrorMessage="1" prompt="0 – Très mauvaise_x000a_1 – Mauvaise_x000a_2 – Moyenne_x000a_3 – Bonne_x000a_4 – Excellente_x000a_NA – Non applicable" sqref="F35 F81 F49 F40">
      <formula1>"0,1,2,3,4,-"</formula1>
    </dataValidation>
    <dataValidation type="list" allowBlank="1" showInputMessage="1" showErrorMessage="1" prompt="0 : Non_x000a_1 : Partiellement_x000a_4 : oui_x000a_- : Non pertinent ou non évalué" sqref="F105:F106">
      <formula1>"0,1,4,-"</formula1>
    </dataValidation>
  </dataValidations>
  <pageMargins left="0.7" right="0.7" top="0.75" bottom="0.75" header="0.3" footer="0.3"/>
  <pageSetup paperSize="9" orientation="portrait" r:id="rId1"/>
  <legacyDrawing r:id="rId2"/>
  <extLst>
    <ext xmlns:x14="http://schemas.microsoft.com/office/spreadsheetml/2009/9/main" uri="{CCE6A557-97BC-4b89-ADB6-D9C93CAAB3DF}">
      <x14:dataValidations xmlns:xm="http://schemas.microsoft.com/office/excel/2006/main" disablePrompts="1" xWindow="1366" yWindow="509" count="2">
        <x14:dataValidation type="list" allowBlank="1" showInputMessage="1" showErrorMessage="1">
          <x14:formula1>
            <xm:f>Scoring!$D$13:$D$15</xm:f>
          </x14:formula1>
          <xm:sqref>D75:D81 D13:D18 D47:D56 D83:D86 D39:D45 D64:D68 D3:D11 D20:D22 D24:D27 D29:D37 D111:D116 D70:D73 D58:D62 D103:D109 D88:D101</xm:sqref>
        </x14:dataValidation>
        <x14:dataValidation type="list" allowBlank="1" showInputMessage="1" showErrorMessage="1">
          <x14:formula1>
            <xm:f>Scoring!$B$19:$B$27</xm:f>
          </x14:formula1>
          <xm:sqref>E3:E116</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
  <sheetViews>
    <sheetView workbookViewId="0">
      <selection activeCell="B6" sqref="B6"/>
    </sheetView>
  </sheetViews>
  <sheetFormatPr baseColWidth="10" defaultColWidth="11.44140625" defaultRowHeight="14.4" x14ac:dyDescent="0.3"/>
  <sheetData/>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H27"/>
  <sheetViews>
    <sheetView topLeftCell="A15" workbookViewId="0">
      <selection activeCell="E21" sqref="E21"/>
    </sheetView>
  </sheetViews>
  <sheetFormatPr baseColWidth="10" defaultColWidth="11.44140625" defaultRowHeight="14.4" x14ac:dyDescent="0.3"/>
  <cols>
    <col min="1" max="2" width="11.44140625" style="52"/>
    <col min="3" max="3" width="23.44140625" style="52" bestFit="1" customWidth="1"/>
    <col min="4" max="4" width="30.33203125" style="52" bestFit="1" customWidth="1"/>
    <col min="5" max="5" width="35.44140625" style="52" customWidth="1"/>
    <col min="6" max="6" width="11.44140625" style="52"/>
    <col min="7" max="7" width="36.88671875" style="52" customWidth="1"/>
    <col min="8" max="16384" width="11.44140625" style="52"/>
  </cols>
  <sheetData>
    <row r="2" spans="2:8" ht="15" thickBot="1" x14ac:dyDescent="0.35"/>
    <row r="3" spans="2:8" x14ac:dyDescent="0.3">
      <c r="B3" s="53"/>
      <c r="C3" s="54" t="s">
        <v>174</v>
      </c>
      <c r="D3" s="54" t="s">
        <v>175</v>
      </c>
      <c r="E3" s="54" t="s">
        <v>176</v>
      </c>
      <c r="F3" s="55" t="s">
        <v>177</v>
      </c>
      <c r="G3" s="56" t="s">
        <v>178</v>
      </c>
    </row>
    <row r="4" spans="2:8" x14ac:dyDescent="0.3">
      <c r="B4" s="57">
        <v>0</v>
      </c>
      <c r="C4" s="58" t="s">
        <v>179</v>
      </c>
      <c r="D4" s="58" t="s">
        <v>180</v>
      </c>
      <c r="E4" s="58" t="s">
        <v>181</v>
      </c>
      <c r="F4" s="59">
        <v>0</v>
      </c>
      <c r="G4" s="60" t="str">
        <f>CONCATENATE(B4, " - (",F4,"%) - ",C4)</f>
        <v>0 - (0%) - Très mauvaise</v>
      </c>
    </row>
    <row r="5" spans="2:8" x14ac:dyDescent="0.3">
      <c r="B5" s="57">
        <v>1</v>
      </c>
      <c r="C5" s="58" t="s">
        <v>182</v>
      </c>
      <c r="D5" s="58" t="s">
        <v>183</v>
      </c>
      <c r="E5" s="58" t="s">
        <v>184</v>
      </c>
      <c r="F5" s="59">
        <v>0.25</v>
      </c>
      <c r="G5" s="60" t="str">
        <f>CONCATENATE(B5, " - (", F5*100,"%) - ",C5)</f>
        <v>1 - (25%) - Mauvaise</v>
      </c>
    </row>
    <row r="6" spans="2:8" x14ac:dyDescent="0.3">
      <c r="B6" s="57">
        <v>2</v>
      </c>
      <c r="C6" s="58" t="s">
        <v>185</v>
      </c>
      <c r="D6" s="58" t="s">
        <v>186</v>
      </c>
      <c r="E6" s="58" t="s">
        <v>187</v>
      </c>
      <c r="F6" s="59">
        <v>0.5</v>
      </c>
      <c r="G6" s="60" t="str">
        <f>CONCATENATE(B6, " - (",F6*100,"%) - ",C6)</f>
        <v>2 - (50%) - Moyenne</v>
      </c>
    </row>
    <row r="7" spans="2:8" x14ac:dyDescent="0.3">
      <c r="B7" s="57">
        <v>3</v>
      </c>
      <c r="C7" s="58" t="s">
        <v>188</v>
      </c>
      <c r="D7" s="58" t="s">
        <v>189</v>
      </c>
      <c r="E7" s="58" t="s">
        <v>190</v>
      </c>
      <c r="F7" s="59">
        <v>0.75</v>
      </c>
      <c r="G7" s="60" t="str">
        <f>CONCATENATE(B7, " - (",F7*100,"%) - ",C7)</f>
        <v>3 - (75%) - Bonne</v>
      </c>
    </row>
    <row r="8" spans="2:8" x14ac:dyDescent="0.3">
      <c r="B8" s="57">
        <v>4</v>
      </c>
      <c r="C8" s="58" t="s">
        <v>191</v>
      </c>
      <c r="D8" s="58" t="s">
        <v>192</v>
      </c>
      <c r="E8" s="58" t="s">
        <v>193</v>
      </c>
      <c r="F8" s="59">
        <v>1</v>
      </c>
      <c r="G8" s="60" t="str">
        <f>CONCATENATE(B8, " - (",F8*100,"%) - ",C8)</f>
        <v>4 - (100%) - Excellente</v>
      </c>
    </row>
    <row r="9" spans="2:8" x14ac:dyDescent="0.3">
      <c r="B9" s="61" t="s">
        <v>20</v>
      </c>
      <c r="C9" s="62" t="s">
        <v>194</v>
      </c>
      <c r="D9" s="62" t="s">
        <v>194</v>
      </c>
      <c r="E9" s="62" t="s">
        <v>194</v>
      </c>
      <c r="F9" s="63" t="s">
        <v>20</v>
      </c>
      <c r="G9" s="60" t="str">
        <f>CONCATENATE(B9, " ",C9)</f>
        <v>- Pas évalué</v>
      </c>
    </row>
    <row r="10" spans="2:8" ht="15" thickBot="1" x14ac:dyDescent="0.35">
      <c r="B10" s="64" t="s">
        <v>20</v>
      </c>
      <c r="C10" s="65" t="s">
        <v>195</v>
      </c>
      <c r="D10" s="65" t="s">
        <v>195</v>
      </c>
      <c r="E10" s="65" t="s">
        <v>195</v>
      </c>
      <c r="F10" s="66" t="s">
        <v>20</v>
      </c>
      <c r="G10" s="67" t="str">
        <f>CONCATENATE(B10, " ",C10)</f>
        <v>- Non pertinent</v>
      </c>
    </row>
    <row r="11" spans="2:8" ht="15" thickBot="1" x14ac:dyDescent="0.35">
      <c r="F11" s="110"/>
      <c r="G11" s="110"/>
    </row>
    <row r="12" spans="2:8" x14ac:dyDescent="0.3">
      <c r="B12" s="53"/>
      <c r="C12" s="54" t="s">
        <v>196</v>
      </c>
      <c r="D12" s="56" t="s">
        <v>178</v>
      </c>
      <c r="E12" s="56" t="s">
        <v>225</v>
      </c>
      <c r="F12" s="116" t="s">
        <v>226</v>
      </c>
      <c r="G12" s="117"/>
    </row>
    <row r="13" spans="2:8" ht="55.8" customHeight="1" x14ac:dyDescent="0.3">
      <c r="B13" s="57">
        <v>1</v>
      </c>
      <c r="C13" s="58" t="s">
        <v>197</v>
      </c>
      <c r="D13" s="60" t="str">
        <f>CONCATENATE(B13, " - (",C13,")")</f>
        <v>1 - (Pondération standard)</v>
      </c>
      <c r="E13" s="109" t="s">
        <v>228</v>
      </c>
      <c r="F13" s="118" t="s">
        <v>229</v>
      </c>
      <c r="G13" s="119"/>
    </row>
    <row r="14" spans="2:8" ht="55.8" customHeight="1" x14ac:dyDescent="0.3">
      <c r="B14" s="57">
        <v>2</v>
      </c>
      <c r="C14" s="58" t="s">
        <v>198</v>
      </c>
      <c r="D14" s="60" t="str">
        <f>CONCATENATE(B14, " - (",C14,")")</f>
        <v>2 - (Importance double)</v>
      </c>
      <c r="E14" s="109" t="s">
        <v>231</v>
      </c>
      <c r="F14" s="118" t="s">
        <v>232</v>
      </c>
      <c r="G14" s="119"/>
    </row>
    <row r="15" spans="2:8" ht="55.8" customHeight="1" thickBot="1" x14ac:dyDescent="0.35">
      <c r="B15" s="64">
        <v>3</v>
      </c>
      <c r="C15" s="65" t="s">
        <v>199</v>
      </c>
      <c r="D15" s="68" t="str">
        <f>CONCATENATE(B15, " - (",C15,")")</f>
        <v>3 - (Important triple)</v>
      </c>
      <c r="E15" s="68" t="s">
        <v>234</v>
      </c>
      <c r="F15" s="120" t="s">
        <v>235</v>
      </c>
      <c r="G15" s="121"/>
      <c r="H15" s="112"/>
    </row>
    <row r="16" spans="2:8" x14ac:dyDescent="0.3">
      <c r="G16" s="111"/>
    </row>
    <row r="17" spans="2:7" ht="15" thickBot="1" x14ac:dyDescent="0.35">
      <c r="B17" s="52" t="s">
        <v>338</v>
      </c>
    </row>
    <row r="18" spans="2:7" ht="30" x14ac:dyDescent="0.3">
      <c r="B18" s="84" t="s">
        <v>200</v>
      </c>
      <c r="C18" s="85" t="s">
        <v>201</v>
      </c>
      <c r="D18" s="85" t="s">
        <v>202</v>
      </c>
      <c r="E18" s="85" t="s">
        <v>203</v>
      </c>
      <c r="G18" s="52" t="s">
        <v>344</v>
      </c>
    </row>
    <row r="19" spans="2:7" ht="86.4" x14ac:dyDescent="0.3">
      <c r="B19" s="92" t="s">
        <v>19</v>
      </c>
      <c r="C19" s="92" t="s">
        <v>204</v>
      </c>
      <c r="D19" s="86" t="s">
        <v>205</v>
      </c>
      <c r="E19" s="87" t="s">
        <v>20</v>
      </c>
      <c r="G19" s="83" t="s">
        <v>346</v>
      </c>
    </row>
    <row r="20" spans="2:7" ht="100.8" x14ac:dyDescent="0.3">
      <c r="B20" s="92" t="s">
        <v>27</v>
      </c>
      <c r="C20" s="92" t="s">
        <v>206</v>
      </c>
      <c r="D20" s="86" t="s">
        <v>207</v>
      </c>
      <c r="E20" s="87" t="s">
        <v>20</v>
      </c>
      <c r="G20" s="52" t="s">
        <v>339</v>
      </c>
    </row>
    <row r="21" spans="2:7" ht="100.8" x14ac:dyDescent="0.3">
      <c r="B21" s="92" t="s">
        <v>34</v>
      </c>
      <c r="C21" s="92" t="s">
        <v>208</v>
      </c>
      <c r="D21" s="83" t="s">
        <v>209</v>
      </c>
      <c r="E21" s="31" t="s">
        <v>20</v>
      </c>
      <c r="G21" s="83" t="s">
        <v>345</v>
      </c>
    </row>
    <row r="22" spans="2:7" ht="86.4" x14ac:dyDescent="0.3">
      <c r="B22" s="92" t="s">
        <v>61</v>
      </c>
      <c r="C22" s="92" t="s">
        <v>210</v>
      </c>
      <c r="D22" s="86" t="s">
        <v>211</v>
      </c>
      <c r="E22" s="87" t="s">
        <v>20</v>
      </c>
    </row>
    <row r="23" spans="2:7" ht="100.8" x14ac:dyDescent="0.3">
      <c r="B23" s="92" t="s">
        <v>42</v>
      </c>
      <c r="C23" s="92" t="s">
        <v>212</v>
      </c>
      <c r="D23" s="86" t="s">
        <v>213</v>
      </c>
      <c r="E23" s="87" t="s">
        <v>20</v>
      </c>
    </row>
    <row r="24" spans="2:7" ht="86.4" x14ac:dyDescent="0.3">
      <c r="B24" s="92" t="s">
        <v>85</v>
      </c>
      <c r="C24" s="92" t="s">
        <v>214</v>
      </c>
      <c r="D24" s="86" t="s">
        <v>215</v>
      </c>
      <c r="E24" s="87" t="s">
        <v>20</v>
      </c>
    </row>
    <row r="25" spans="2:7" ht="86.4" x14ac:dyDescent="0.3">
      <c r="B25" s="92" t="s">
        <v>45</v>
      </c>
      <c r="C25" s="92" t="s">
        <v>216</v>
      </c>
      <c r="D25" s="86" t="s">
        <v>217</v>
      </c>
      <c r="E25" s="87" t="s">
        <v>20</v>
      </c>
    </row>
    <row r="26" spans="2:7" ht="57.6" x14ac:dyDescent="0.3">
      <c r="B26" s="92" t="s">
        <v>152</v>
      </c>
      <c r="C26" s="92" t="s">
        <v>216</v>
      </c>
      <c r="D26" s="86" t="s">
        <v>218</v>
      </c>
      <c r="E26" s="87" t="s">
        <v>20</v>
      </c>
    </row>
    <row r="27" spans="2:7" ht="43.2" x14ac:dyDescent="0.3">
      <c r="B27" s="92" t="s">
        <v>156</v>
      </c>
      <c r="C27" s="92"/>
      <c r="D27" s="86" t="s">
        <v>219</v>
      </c>
      <c r="E27" s="87"/>
    </row>
  </sheetData>
  <mergeCells count="4">
    <mergeCell ref="F12:G12"/>
    <mergeCell ref="F13:G13"/>
    <mergeCell ref="F14:G14"/>
    <mergeCell ref="F15:G15"/>
  </mergeCells>
  <conditionalFormatting sqref="E19">
    <cfRule type="expression" dxfId="29" priority="36">
      <formula>IF(E19=4,TRUE,FALSE)</formula>
    </cfRule>
    <cfRule type="expression" dxfId="28" priority="37">
      <formula>IF(E19=3,TRUE,FALSE)</formula>
    </cfRule>
    <cfRule type="expression" dxfId="27" priority="38">
      <formula>IF(E19=2,TRUE,FALSE)</formula>
    </cfRule>
    <cfRule type="expression" dxfId="26" priority="39">
      <formula>IF(E19=1,TRUE,FALSE)</formula>
    </cfRule>
    <cfRule type="expression" dxfId="25" priority="40">
      <formula>IF(E19=0,TRUE,FALSE)</formula>
    </cfRule>
  </conditionalFormatting>
  <conditionalFormatting sqref="E20">
    <cfRule type="expression" dxfId="24" priority="31">
      <formula>IF(E20=4,TRUE,FALSE)</formula>
    </cfRule>
    <cfRule type="expression" dxfId="23" priority="32">
      <formula>IF(E20=3,TRUE,FALSE)</formula>
    </cfRule>
    <cfRule type="expression" dxfId="22" priority="33">
      <formula>IF(E20=2,TRUE,FALSE)</formula>
    </cfRule>
    <cfRule type="expression" dxfId="21" priority="34">
      <formula>IF(E20=1,TRUE,FALSE)</formula>
    </cfRule>
    <cfRule type="expression" dxfId="20" priority="35">
      <formula>IF(E20=0,TRUE,FALSE)</formula>
    </cfRule>
  </conditionalFormatting>
  <conditionalFormatting sqref="E22">
    <cfRule type="expression" dxfId="19" priority="21">
      <formula>IF(E22=4,TRUE,FALSE)</formula>
    </cfRule>
    <cfRule type="expression" dxfId="18" priority="22">
      <formula>IF(E22=3,TRUE,FALSE)</formula>
    </cfRule>
    <cfRule type="expression" dxfId="17" priority="23">
      <formula>IF(E22=2,TRUE,FALSE)</formula>
    </cfRule>
    <cfRule type="expression" dxfId="16" priority="24">
      <formula>IF(E22=1,TRUE,FALSE)</formula>
    </cfRule>
    <cfRule type="expression" dxfId="15" priority="25">
      <formula>IF(E22=0,TRUE,FALSE)</formula>
    </cfRule>
  </conditionalFormatting>
  <conditionalFormatting sqref="E23:E26">
    <cfRule type="expression" dxfId="14" priority="16">
      <formula>IF(E23=4,TRUE,FALSE)</formula>
    </cfRule>
    <cfRule type="expression" dxfId="13" priority="17">
      <formula>IF(E23=3,TRUE,FALSE)</formula>
    </cfRule>
    <cfRule type="expression" dxfId="12" priority="18">
      <formula>IF(E23=2,TRUE,FALSE)</formula>
    </cfRule>
    <cfRule type="expression" dxfId="11" priority="19">
      <formula>IF(E23=1,TRUE,FALSE)</formula>
    </cfRule>
    <cfRule type="expression" dxfId="10" priority="20">
      <formula>IF(E23=0,TRUE,FALSE)</formula>
    </cfRule>
  </conditionalFormatting>
  <conditionalFormatting sqref="E21">
    <cfRule type="expression" dxfId="9" priority="6">
      <formula>IF(E21=4,TRUE,FALSE)</formula>
    </cfRule>
    <cfRule type="expression" dxfId="8" priority="7">
      <formula>IF(E21=3,TRUE,FALSE)</formula>
    </cfRule>
    <cfRule type="expression" dxfId="7" priority="8">
      <formula>IF(E21=2,TRUE,FALSE)</formula>
    </cfRule>
    <cfRule type="expression" dxfId="6" priority="9">
      <formula>IF(E21=1,TRUE,FALSE)</formula>
    </cfRule>
    <cfRule type="expression" dxfId="5" priority="10">
      <formula>IF(E21=0,TRUE,FALSE)</formula>
    </cfRule>
  </conditionalFormatting>
  <conditionalFormatting sqref="E27">
    <cfRule type="expression" dxfId="4" priority="1">
      <formula>IF(E27=4,TRUE,FALSE)</formula>
    </cfRule>
    <cfRule type="expression" dxfId="3" priority="2">
      <formula>IF(E27=3,TRUE,FALSE)</formula>
    </cfRule>
    <cfRule type="expression" dxfId="2" priority="3">
      <formula>IF(E27=2,TRUE,FALSE)</formula>
    </cfRule>
    <cfRule type="expression" dxfId="1" priority="4">
      <formula>IF(E27=1,TRUE,FALSE)</formula>
    </cfRule>
    <cfRule type="expression" dxfId="0" priority="5">
      <formula>IF(E27=0,TRUE,FALSE)</formula>
    </cfRule>
  </conditionalFormatting>
  <dataValidations count="8">
    <dataValidation type="list" allowBlank="1" showInputMessage="1" showErrorMessage="1" prompt="0 – 0% atteint_x000a_1 – 25% atteint_x000a_2 – 50% atteint_x000a_3 – 75% atteint_x000a_4 – 100% atteint_x000a_NA – Non applicable" sqref="E25">
      <formula1>"0,1,2,3,4,-"</formula1>
    </dataValidation>
    <dataValidation type="list" allowBlank="1" showInputMessage="1" showErrorMessage="1" prompt="0 – Très mauvaise_x000a_1 – Mauvaise_x000a_2 – Moyenne_x000a_3 – Bonne_x000a_4 – Excellente_x000a_NA – Non applicable" sqref="E24">
      <formula1>"0,1,2,3,4,-"</formula1>
    </dataValidation>
    <dataValidation type="list" allowBlank="1" showInputMessage="1" showErrorMessage="1" prompt="0 – Aucune implication_x000a_1 – Implication ponctuelle_x000a_2 – Implication partielle_x000a_3 – Implication régulière_x000a_4 – Implication active et documentée_x000a_NA – Non applicable" sqref="E23">
      <formula1>"0,1,2,3,4,-"</formula1>
    </dataValidation>
    <dataValidation type="list" allowBlank="1" showInputMessage="1" showErrorMessage="1" prompt="0 – Pas de formation_x000a_1 – Formation informelle_x000a_2 – Formation partielle_x000a_3 – Formation incomplète_x000a_4 – Formation complète et suivie_x000a_NA – Non applicable" sqref="E22">
      <formula1>"0,1,2,3,4,-"</formula1>
    </dataValidation>
    <dataValidation type="list" allowBlank="1" showInputMessage="1" showErrorMessage="1" prompt="0 – Aucun suivi_x000a_1 – Suivi papier, non structuré_x000a_2 – Suivi présent mais incohérent_x000a_3 – Suivi fiable avec erreurs mineures_x000a_4 – Suivi complet et à jour_x000a_NA – Non applicable" sqref="E20">
      <formula1>"0,1,2,3,4,-"</formula1>
    </dataValidation>
    <dataValidation type="list" allowBlank="1" showInputMessage="1" showErrorMessage="1" prompt="0 – Procédure absente_x000a_1 – Connue mais non appliquée_x000a_2 – Appliquée partiellement_x000a_3 – Appliquée avec quelques écarts_x000a_4 – Maîtrisée et appliquée_x000a_NA – Non applicable" sqref="E19">
      <formula1>"0,1,2,3,4,-"</formula1>
    </dataValidation>
    <dataValidation type="list" allowBlank="1" showInputMessage="1" showErrorMessage="1" prompt="0 – Absent_x000a_1 – Présent mais inutilisable_x000a_2 – Utilisable mais incomplet_x000a_3 – Fonctionnel, vérif. non formalisée_x000a_4 – Fonctionnel, complet, vérifié_x000a_NA – Non applicable" sqref="E21">
      <formula1>"0,1,2,3,4,-"</formula1>
    </dataValidation>
    <dataValidation type="list" allowBlank="1" showInputMessage="1" showErrorMessage="1" prompt="0 - Non_x000a_1 - Partiellement_x000a_4 - Oui_x000a_NA - Non applicable" sqref="E26">
      <formula1>"0,1,2,3,4,-"</formula1>
    </dataValidation>
  </dataValidations>
  <pageMargins left="0.7" right="0.7" top="0.75" bottom="0.75" header="0.3" footer="0.3"/>
  <pageSetup paperSize="9" orientation="portrait" r:id="rId1"/>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B2:D24"/>
  <sheetViews>
    <sheetView topLeftCell="A7" workbookViewId="0">
      <selection activeCell="D51" sqref="D51"/>
    </sheetView>
  </sheetViews>
  <sheetFormatPr baseColWidth="10" defaultColWidth="11.44140625" defaultRowHeight="14.4" x14ac:dyDescent="0.3"/>
  <cols>
    <col min="2" max="2" width="24.44140625" customWidth="1"/>
    <col min="3" max="3" width="29.6640625" customWidth="1"/>
    <col min="4" max="4" width="48.88671875" customWidth="1"/>
  </cols>
  <sheetData>
    <row r="2" spans="2:4" x14ac:dyDescent="0.3">
      <c r="B2" s="74" t="s">
        <v>220</v>
      </c>
      <c r="C2" t="s">
        <v>221</v>
      </c>
    </row>
    <row r="4" spans="2:4" x14ac:dyDescent="0.3">
      <c r="B4" s="74" t="s">
        <v>222</v>
      </c>
      <c r="D4" t="s">
        <v>334</v>
      </c>
    </row>
    <row r="5" spans="2:4" x14ac:dyDescent="0.3">
      <c r="D5" t="s">
        <v>223</v>
      </c>
    </row>
    <row r="6" spans="2:4" x14ac:dyDescent="0.3">
      <c r="D6" t="s">
        <v>224</v>
      </c>
    </row>
    <row r="8" spans="2:4" ht="15" thickBot="1" x14ac:dyDescent="0.35"/>
    <row r="9" spans="2:4" ht="15.6" thickBot="1" x14ac:dyDescent="0.35">
      <c r="B9" s="75" t="s">
        <v>2</v>
      </c>
      <c r="C9" s="76" t="s">
        <v>225</v>
      </c>
      <c r="D9" s="76" t="s">
        <v>226</v>
      </c>
    </row>
    <row r="10" spans="2:4" ht="79.2" customHeight="1" thickBot="1" x14ac:dyDescent="0.35">
      <c r="B10" s="77" t="s">
        <v>227</v>
      </c>
      <c r="C10" s="96" t="s">
        <v>228</v>
      </c>
      <c r="D10" s="96" t="s">
        <v>229</v>
      </c>
    </row>
    <row r="11" spans="2:4" ht="83.4" customHeight="1" thickBot="1" x14ac:dyDescent="0.35">
      <c r="B11" s="77" t="s">
        <v>230</v>
      </c>
      <c r="C11" s="96" t="s">
        <v>231</v>
      </c>
      <c r="D11" s="96" t="s">
        <v>232</v>
      </c>
    </row>
    <row r="12" spans="2:4" ht="97.2" customHeight="1" thickBot="1" x14ac:dyDescent="0.35">
      <c r="B12" s="77" t="s">
        <v>233</v>
      </c>
      <c r="C12" s="96" t="s">
        <v>234</v>
      </c>
      <c r="D12" s="96" t="s">
        <v>235</v>
      </c>
    </row>
    <row r="14" spans="2:4" x14ac:dyDescent="0.3">
      <c r="B14" t="s">
        <v>236</v>
      </c>
    </row>
    <row r="15" spans="2:4" x14ac:dyDescent="0.3">
      <c r="B15" t="s">
        <v>237</v>
      </c>
    </row>
    <row r="16" spans="2:4" x14ac:dyDescent="0.3">
      <c r="B16" t="s">
        <v>238</v>
      </c>
    </row>
    <row r="17" spans="2:3" x14ac:dyDescent="0.3">
      <c r="B17" t="s">
        <v>239</v>
      </c>
    </row>
    <row r="18" spans="2:3" x14ac:dyDescent="0.3">
      <c r="B18" t="s">
        <v>240</v>
      </c>
    </row>
    <row r="21" spans="2:3" x14ac:dyDescent="0.3">
      <c r="B21" t="s">
        <v>2</v>
      </c>
      <c r="C21" t="s">
        <v>225</v>
      </c>
    </row>
    <row r="22" spans="2:3" x14ac:dyDescent="0.3">
      <c r="B22" t="s">
        <v>227</v>
      </c>
      <c r="C22" t="s">
        <v>228</v>
      </c>
    </row>
    <row r="23" spans="2:3" x14ac:dyDescent="0.3">
      <c r="B23" t="s">
        <v>230</v>
      </c>
      <c r="C23" t="s">
        <v>231</v>
      </c>
    </row>
    <row r="24" spans="2:3" x14ac:dyDescent="0.3">
      <c r="B24" t="s">
        <v>233</v>
      </c>
      <c r="C24" t="s">
        <v>234</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p:properties xmlns:p="http://schemas.microsoft.com/office/2006/metadata/properties" xmlns:xsi="http://www.w3.org/2001/XMLSchema-instance" xmlns:pc="http://schemas.microsoft.com/office/infopath/2007/PartnerControls">
  <documentManagement>
    <_activity xmlns="dac19a8f-67af-4459-9c36-7bc5c392035f" xsi:nil="true"/>
  </documentManagement>
</p:properties>
</file>

<file path=customXml/item2.xml><?xml version="1.0" encoding="utf-8"?>
<ct:contentTypeSchema xmlns:ct="http://schemas.microsoft.com/office/2006/metadata/contentType" xmlns:ma="http://schemas.microsoft.com/office/2006/metadata/properties/metaAttributes" ct:_="" ma:_="" ma:contentTypeName="Document" ma:contentTypeID="0x01010007EAFF884391854CA90F20549D2CCB77" ma:contentTypeVersion="16" ma:contentTypeDescription="Crée un document." ma:contentTypeScope="" ma:versionID="d546cbcf0a1479a1a9e1e26127c5bed2">
  <xsd:schema xmlns:xsd="http://www.w3.org/2001/XMLSchema" xmlns:xs="http://www.w3.org/2001/XMLSchema" xmlns:p="http://schemas.microsoft.com/office/2006/metadata/properties" xmlns:ns3="1e42fc7d-934e-41b1-91bd-98c5fc499c85" xmlns:ns4="dac19a8f-67af-4459-9c36-7bc5c392035f" targetNamespace="http://schemas.microsoft.com/office/2006/metadata/properties" ma:root="true" ma:fieldsID="38cfed280e3e01ecf4c769612888ddd6" ns3:_="" ns4:_="">
    <xsd:import namespace="1e42fc7d-934e-41b1-91bd-98c5fc499c85"/>
    <xsd:import namespace="dac19a8f-67af-4459-9c36-7bc5c392035f"/>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Tags" minOccurs="0"/>
                <xsd:element ref="ns4:MediaServiceGenerationTime" minOccurs="0"/>
                <xsd:element ref="ns4:MediaServiceEventHashCode" minOccurs="0"/>
                <xsd:element ref="ns4:MediaServiceOCR" minOccurs="0"/>
                <xsd:element ref="ns4:MediaServiceDateTaken" minOccurs="0"/>
                <xsd:element ref="ns4:MediaServiceLocation" minOccurs="0"/>
                <xsd:element ref="ns4:_activity" minOccurs="0"/>
                <xsd:element ref="ns4:MediaLengthInSeconds" minOccurs="0"/>
                <xsd:element ref="ns4:MediaServiceObjectDetectorVersions" minOccurs="0"/>
                <xsd:element ref="ns4:MediaServiceSystemTags" minOccurs="0"/>
                <xsd:element ref="ns4: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e42fc7d-934e-41b1-91bd-98c5fc499c85" elementFormDefault="qualified">
    <xsd:import namespace="http://schemas.microsoft.com/office/2006/documentManagement/types"/>
    <xsd:import namespace="http://schemas.microsoft.com/office/infopath/2007/PartnerControls"/>
    <xsd:element name="SharedWithUsers" ma:index="8" nillable="true" ma:displayName="Partagé avec"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Partagé avec détails" ma:internalName="SharedWithDetails" ma:readOnly="true">
      <xsd:simpleType>
        <xsd:restriction base="dms:Note">
          <xsd:maxLength value="255"/>
        </xsd:restriction>
      </xsd:simpleType>
    </xsd:element>
    <xsd:element name="SharingHintHash" ma:index="10" nillable="true" ma:displayName="Partage du hachage d’indicateur"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dac19a8f-67af-4459-9c36-7bc5c392035f"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Tags" ma:index="13" nillable="true" ma:displayName="Tags" ma:internalName="MediaServiceAutoTags" ma:readOnly="true">
      <xsd:simpleType>
        <xsd:restriction base="dms:Text"/>
      </xsd:simpleType>
    </xsd:element>
    <xsd:element name="MediaServiceGenerationTime" ma:index="14" nillable="true" ma:displayName="MediaServiceGenerationTime" ma:hidden="true" ma:internalName="MediaServiceGenerationTime" ma:readOnly="true">
      <xsd:simpleType>
        <xsd:restriction base="dms:Text"/>
      </xsd:simpleType>
    </xsd:element>
    <xsd:element name="MediaServiceEventHashCode" ma:index="15" nillable="true" ma:displayName="MediaServiceEventHashCode" ma:hidden="true" ma:internalName="MediaServiceEventHashCode" ma:readOnly="true">
      <xsd:simpleType>
        <xsd:restriction base="dms:Text"/>
      </xsd:simpleType>
    </xsd:element>
    <xsd:element name="MediaServiceOCR" ma:index="16" nillable="true" ma:displayName="Extracted Text" ma:internalName="MediaServiceOCR" ma:readOnly="true">
      <xsd:simpleType>
        <xsd:restriction base="dms:Note">
          <xsd:maxLength value="255"/>
        </xsd:restriction>
      </xsd:simpleType>
    </xsd:element>
    <xsd:element name="MediaServiceDateTaken" ma:index="17" nillable="true" ma:displayName="MediaServiceDateTaken" ma:hidden="true" ma:indexed="true" ma:internalName="MediaServiceDateTaken" ma:readOnly="true">
      <xsd:simpleType>
        <xsd:restriction base="dms:Text"/>
      </xsd:simpleType>
    </xsd:element>
    <xsd:element name="MediaServiceLocation" ma:index="18" nillable="true" ma:displayName="Location" ma:indexed="true" ma:internalName="MediaServiceLocation" ma:readOnly="true">
      <xsd:simpleType>
        <xsd:restriction base="dms:Text"/>
      </xsd:simpleType>
    </xsd:element>
    <xsd:element name="_activity" ma:index="19" nillable="true" ma:displayName="_activity" ma:hidden="true" ma:internalName="_activity">
      <xsd:simpleType>
        <xsd:restriction base="dms:Note"/>
      </xsd:simpleType>
    </xsd:element>
    <xsd:element name="MediaLengthInSeconds" ma:index="20" nillable="true" ma:displayName="MediaLengthInSeconds" ma:hidden="true" ma:internalName="MediaLengthInSeconds" ma:readOnly="true">
      <xsd:simpleType>
        <xsd:restriction base="dms:Unknown"/>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ystemTags" ma:index="22" nillable="true" ma:displayName="MediaServiceSystemTags" ma:hidden="true" ma:internalName="MediaServiceSystemTags" ma:readOnly="true">
      <xsd:simpleType>
        <xsd:restriction base="dms:Note"/>
      </xsd:simpleType>
    </xsd:element>
    <xsd:element name="MediaServiceSearchProperties" ma:index="23" nillable="true" ma:displayName="MediaServiceSearchProperties" ma:hidden="true" ma:internalName="MediaServiceSearchProperties" ma:readOnly="true">
      <xsd:simpleType>
        <xsd:restriction base="dms:Note"/>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Type de contenu"/>
        <xsd:element ref="dc:title" minOccurs="0" maxOccurs="1" ma:index="4" ma:displayName="Titr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F977A781-4F6B-4238-8CA0-BD79413E393F}">
  <ds:schemaRefs>
    <ds:schemaRef ds:uri="http://purl.org/dc/dcmitype/"/>
    <ds:schemaRef ds:uri="http://purl.org/dc/terms/"/>
    <ds:schemaRef ds:uri="http://purl.org/dc/elements/1.1/"/>
    <ds:schemaRef ds:uri="http://schemas.microsoft.com/office/2006/documentManagement/types"/>
    <ds:schemaRef ds:uri="dac19a8f-67af-4459-9c36-7bc5c392035f"/>
    <ds:schemaRef ds:uri="1e42fc7d-934e-41b1-91bd-98c5fc499c85"/>
    <ds:schemaRef ds:uri="http://schemas.microsoft.com/office/infopath/2007/PartnerControls"/>
    <ds:schemaRef ds:uri="http://schemas.openxmlformats.org/package/2006/metadata/core-properties"/>
    <ds:schemaRef ds:uri="http://schemas.microsoft.com/office/2006/metadata/properties"/>
    <ds:schemaRef ds:uri="http://www.w3.org/XML/1998/namespace"/>
  </ds:schemaRefs>
</ds:datastoreItem>
</file>

<file path=customXml/itemProps2.xml><?xml version="1.0" encoding="utf-8"?>
<ds:datastoreItem xmlns:ds="http://schemas.openxmlformats.org/officeDocument/2006/customXml" ds:itemID="{901962B3-914A-4813-8369-E350C2F53D3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e42fc7d-934e-41b1-91bd-98c5fc499c85"/>
    <ds:schemaRef ds:uri="dac19a8f-67af-4459-9c36-7bc5c392035f"/>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6A3C6AA2-6DB5-4B16-85C6-CB3FCB9D40E9}">
  <ds:schemaRefs>
    <ds:schemaRef ds:uri="http://schemas.microsoft.com/sharepoint/v3/contenttype/fo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Feuilles de calcul</vt:lpstr>
      </vt:variant>
      <vt:variant>
        <vt:i4>4</vt:i4>
      </vt:variant>
      <vt:variant>
        <vt:lpstr>Plages nommées</vt:lpstr>
      </vt:variant>
      <vt:variant>
        <vt:i4>2</vt:i4>
      </vt:variant>
    </vt:vector>
  </HeadingPairs>
  <TitlesOfParts>
    <vt:vector size="6" baseType="lpstr">
      <vt:lpstr>LAT</vt:lpstr>
      <vt:lpstr>Dashboard</vt:lpstr>
      <vt:lpstr>Scoring</vt:lpstr>
      <vt:lpstr>notes</vt:lpstr>
      <vt:lpstr>c_quality_scale</vt:lpstr>
      <vt:lpstr>d_quality_scale</vt:lpstr>
    </vt:vector>
  </TitlesOfParts>
  <Manager/>
  <Company>Action Contre la Faim</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Jonathan Genet</dc:creator>
  <cp:keywords/>
  <dc:description/>
  <cp:lastModifiedBy>Jonathan Genet  </cp:lastModifiedBy>
  <cp:revision/>
  <dcterms:created xsi:type="dcterms:W3CDTF">2025-08-13T07:36:39Z</dcterms:created>
  <dcterms:modified xsi:type="dcterms:W3CDTF">2026-01-30T09:30:36Z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0x01010007EAFF884391854CA90F20549D2CCB77</vt:lpwstr>
  </property>
  <property fmtid="{D5CDD505-2E9C-101B-9397-08002B2CF9AE}" pid="3" name="_dlc_DocIdItemGuid">
    <vt:lpwstr>35d590a9-99e3-4944-a27a-da22eee345a2</vt:lpwstr>
  </property>
  <property fmtid="{D5CDD505-2E9C-101B-9397-08002B2CF9AE}" pid="4" name="TaxKeyword">
    <vt:lpwstr/>
  </property>
  <property fmtid="{D5CDD505-2E9C-101B-9397-08002B2CF9AE}" pid="5" name="MediaServiceImageTags">
    <vt:lpwstr/>
  </property>
</Properties>
</file>